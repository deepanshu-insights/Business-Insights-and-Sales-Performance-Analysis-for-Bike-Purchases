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securitasgroup-my.sharepoint.com/personal/deepanshu_kumar_pinkerton_com/Documents/November 2025/Data_a/Excel1200/Projects/Bike Sold/"/>
    </mc:Choice>
  </mc:AlternateContent>
  <xr:revisionPtr revIDLastSave="17" documentId="13_ncr:1_{365A9910-8BEE-4CD0-882A-3FD073292B5E}" xr6:coauthVersionLast="47" xr6:coauthVersionMax="47" xr10:uidLastSave="{E8CE9879-2CA9-458D-8EF4-A38B5B4C6CB9}"/>
  <bookViews>
    <workbookView xWindow="-120" yWindow="-120" windowWidth="20730" windowHeight="11040" activeTab="1" xr2:uid="{00000000-000D-0000-FFFF-FFFF00000000}"/>
  </bookViews>
  <sheets>
    <sheet name="bike_buyers" sheetId="1" r:id="rId1"/>
    <sheet name="working_sheet" sheetId="2" r:id="rId2"/>
    <sheet name="pivot(all insights)" sheetId="3" r:id="rId3"/>
    <sheet name="dashboard"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<sst xmlns="http://schemas.openxmlformats.org/spreadsheetml/2006/main" count="16292" uniqueCount="56">
  <si>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</si>
  <si>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</si>
  <si>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</si>
  <si>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</si>
  <si>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</si>
  <si>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</si>
  <si>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</si>
  <si>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</si>
  <si>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</si>
  <si>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</si>
  <si>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</si>
  <si>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</si>
  <si>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</si>
  <si>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</si>
  <si>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</si>
  <si>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</si>
  <si>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</si>
  <si>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</si>
  <si>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</si>
  <si>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</si>
  <si>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</si>
  <si>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</si>
  <si>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</si>
  <si>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</si>
  <si>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</si>
  <si>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</si>
  <si>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</si>
  <si>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</si>
  <si>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</si>
  <si>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</si>
  <si>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</si>
  <si>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</si>
  <si>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</si>
  <si>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</si>
  <si>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</si>
  <si>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</si>
  <si>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</si>
  <si>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</si>
  <si>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</si>
  <si>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</si>
  <si>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Category</t>
  </si>
  <si>
    <t>Row Labels</t>
  </si>
  <si>
    <t>Grand Total</t>
  </si>
  <si>
    <t>Column Labels</t>
  </si>
  <si>
    <t>Average of Income</t>
  </si>
  <si>
    <t>Count of ID</t>
  </si>
  <si>
    <t>More than 10 Miles</t>
  </si>
  <si>
    <t>Adolescent</t>
  </si>
  <si>
    <t>Middle</t>
  </si>
  <si>
    <t>Old</t>
  </si>
  <si>
    <t>Is Purchased ?</t>
  </si>
  <si>
    <t xml:space="preserve">gendar vise calculating the average salary who bought the bikes </t>
  </si>
  <si>
    <t xml:space="preserve">calcuating the number of miles from the stores who bought the bikes or not </t>
  </si>
  <si>
    <t xml:space="preserve">who bought the bike based on different age group </t>
  </si>
  <si>
    <t>who bought the bike based on different merrital status</t>
  </si>
  <si>
    <t>number of bike sold by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</si>
</sst>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color theme="3" tint="-0.499984740745262"/>
        <name val="Segoe UI"/>
        <family val="2"/>
        <scheme val="none"/>
      </font>
    </dxf>
    <dxf>
      <border diagonalUp="0" diagonalDown="0">
        <left/>
        <right/>
        <top/>
        <bottom/>
        <vertical/>
        <horizontal/>
      </border>
    </dxf>
  </dxfs>
  <tableStyles count="1" defaultTableStyle="TableStyleMedium2" defaultPivotStyle="PivotStyleLight16">
    <tableStyle name="Slicer Style 1" pivot="0" table="0" count="7" xr9:uid="{DF33B853-B1DC-44B8-8230-A073A6405743}">
      <tableStyleElement type="wholeTable" dxfId="1"/>
      <tableStyleElement type="headerRow" dxfId="0"/>
    </tableStyle>
  </tableStyles>
  <extLst>
    <ext xmlns:x14="http://schemas.microsoft.com/office/spreadsheetml/2009/9/main" uri="{46F421CA-312F-682f-3DD2-61675219B42D}">
      <x14:dxfs count="9">
        <dxf>
          <font>
            <color theme="3" tint="-0.499984740745262"/>
          </font>
          <fill>
            <patternFill>
              <bgColor theme="0"/>
            </patternFill>
          </fill>
        </dxf>
        <dxf>
          <font>
            <b val="0"/>
            <i val="0"/>
            <color theme="0"/>
          </font>
          <fill>
            <patternFill>
              <bgColor theme="3" tint="-0.499984740745262"/>
            </patternFill>
          </fill>
        </dxf>
        <dxf>
          <font>
            <b val="0"/>
            <i val="0"/>
          </font>
          <fill>
            <patternFill>
              <bgColor theme="0"/>
            </patternFill>
          </fill>
          <border>
            <left style="thin">
              <color auto="1"/>
            </left>
            <right style="thin">
              <color auto="1"/>
            </right>
            <top style="thin">
              <color auto="1"/>
            </top>
            <bottom style="thin">
              <color auto="1"/>
            </bottom>
          </border>
        </dxf>
        <dxf>
          <font>
            <b val="0"/>
            <i val="0"/>
            <color theme="3" tint="-0.499984740745262"/>
          </font>
          <border diagonalDown="1">
            <left style="thin">
              <color auto="1"/>
            </left>
            <right style="thin">
              <color auto="1"/>
            </right>
            <top style="thin">
              <color auto="1"/>
            </top>
            <bottom style="thin">
              <color auto="1"/>
            </bottom>
            <diagonal style="thin">
              <color auto="1"/>
            </diagonal>
          </border>
        </dxf>
        <dxf>
          <font>
            <color theme="0"/>
          </font>
          <fill>
            <patternFill>
              <fgColor theme="3" tint="-0.499984740745262"/>
              <bgColor theme="3" tint="-0.499984740745262"/>
            </patternFill>
          </fill>
        </dxf>
        <dxf>
          <font>
            <b val="0"/>
            <i val="0"/>
            <color theme="0"/>
          </font>
          <fill>
            <patternFill>
              <bgColor theme="3" tint="-0.499984740745262"/>
            </patternFill>
          </fill>
        </dxf>
        <dxf>
          <font>
            <b val="0"/>
            <i val="0"/>
          </font>
          <fill>
            <patternFill>
              <bgColor theme="0"/>
            </patternFill>
          </fill>
          <border>
            <left style="thin">
              <color auto="1"/>
            </left>
            <right style="thin">
              <color auto="1"/>
            </right>
            <top style="thin">
              <color auto="1"/>
            </top>
            <bottom style="thin">
              <color auto="1"/>
            </bottom>
          </border>
        </dxf>
        <dxf>
          <font>
            <b val="0"/>
            <i val="0"/>
            <color theme="3" tint="-0.499984740745262"/>
          </font>
          <border diagonalDown="1">
            <left style="thin">
              <color auto="1"/>
            </left>
            <right style="thin">
              <color auto="1"/>
            </right>
            <top style="thin">
              <color auto="1"/>
            </top>
            <bottom style="thin">
              <color auto="1"/>
            </bottom>
            <diagonal style="thin">
              <color auto="1"/>
            </diagonal>
          </border>
        </dxf>
        <dxf>
          <font>
            <color theme="0"/>
          </font>
          <fill>
            <patternFill>
              <fgColor theme="3" tint="-0.499984740745262"/>
              <bgColor theme="3"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4"/>
            <x14:slicerStyleElement type="selectedItemWithNoData" dxfId="3"/>
            <x14:slicerStyleElement type="hoveredUnselectedItemWithData" dxfId="2"/>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Dataset.xlsx]pivot(all insights)!PivotTable1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a:t>
            </a:r>
            <a:r>
              <a:rPr lang="en-IN" b="1" baseline="0"/>
              <a:t>Income per Purchase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'pivot(all insights)'!$C$2:$C$3</c:f>
              <c:strCache>
                <c:ptCount val="1"/>
                <c:pt idx="0">
                  <c:v>Yes</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insights)'!$B$4:$B$6</c:f>
              <c:strCache>
                <c:ptCount val="2"/>
                <c:pt idx="0">
                  <c:v>Female</c:v>
                </c:pt>
                <c:pt idx="1">
                  <c:v>Male</c:v>
                </c:pt>
              </c:strCache>
            </c:strRef>
          </c:cat>
          <c:val>
            <c:numRef>
              <c:f>'pivot(all insights)'!$C$4:$C$6</c:f>
              <c:numCache>
                <c:formatCode>"$"#,##0</c:formatCode>
                <c:ptCount val="2"/>
                <c:pt idx="0">
                  <c:v>55774.058577405856</c:v>
                </c:pt>
                <c:pt idx="1">
                  <c:v>60123.966942148763</c:v>
                </c:pt>
              </c:numCache>
            </c:numRef>
          </c:val>
          <c:extLst>
            <c:ext xmlns:c16="http://schemas.microsoft.com/office/drawing/2014/chart" uri="{C3380CC4-5D6E-409C-BE32-E72D297353CC}">
              <c16:uniqueId val="{00000000-E526-4E97-88C1-B81A44A7EC7F}"/>
            </c:ext>
          </c:extLst>
        </c:ser>
        <c:ser>
          <c:idx val="1"/>
          <c:order val="1"/>
          <c:tx>
            <c:strRef>
              <c:f>'pivot(all insights)'!$D$2:$D$3</c:f>
              <c:strCache>
                <c:ptCount val="1"/>
                <c:pt idx="0">
                  <c:v>No</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insights)'!$B$4:$B$6</c:f>
              <c:strCache>
                <c:ptCount val="2"/>
                <c:pt idx="0">
                  <c:v>Female</c:v>
                </c:pt>
                <c:pt idx="1">
                  <c:v>Male</c:v>
                </c:pt>
              </c:strCache>
            </c:strRef>
          </c:cat>
          <c:val>
            <c:numRef>
              <c:f>'pivot(all insights)'!$D$4:$D$6</c:f>
              <c:numCache>
                <c:formatCode>"$"#,##0</c:formatCode>
                <c:ptCount val="2"/>
                <c:pt idx="0">
                  <c:v>53440</c:v>
                </c:pt>
                <c:pt idx="1">
                  <c:v>56208.178438661707</c:v>
                </c:pt>
              </c:numCache>
            </c:numRef>
          </c:val>
          <c:extLst>
            <c:ext xmlns:c16="http://schemas.microsoft.com/office/drawing/2014/chart" uri="{C3380CC4-5D6E-409C-BE32-E72D297353CC}">
              <c16:uniqueId val="{00000001-E526-4E97-88C1-B81A44A7EC7F}"/>
            </c:ext>
          </c:extLst>
        </c:ser>
        <c:dLbls>
          <c:showLegendKey val="0"/>
          <c:showVal val="0"/>
          <c:showCatName val="0"/>
          <c:showSerName val="0"/>
          <c:showPercent val="0"/>
          <c:showBubbleSize val="0"/>
        </c:dLbls>
        <c:gapWidth val="219"/>
        <c:overlap val="-27"/>
        <c:axId val="646298240"/>
        <c:axId val="646295840"/>
      </c:barChart>
      <c:catAx>
        <c:axId val="64629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295840"/>
        <c:crosses val="autoZero"/>
        <c:auto val="1"/>
        <c:lblAlgn val="ctr"/>
        <c:lblOffset val="100"/>
        <c:noMultiLvlLbl val="0"/>
      </c:catAx>
      <c:valAx>
        <c:axId val="646295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298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Dataset.xlsx]pivot(all insights)!PivotTable2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a:t>
            </a:r>
            <a:r>
              <a:rPr lang="en-IN" b="1" baseline="0"/>
              <a:t>Distence form the Store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tx2">
                <a:lumMod val="50000"/>
              </a:schemeClr>
            </a:solidFill>
            <a:round/>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50000"/>
              </a:schemeClr>
            </a:solidFill>
            <a:round/>
          </a:ln>
          <a:effectLst/>
        </c:spPr>
        <c:marker>
          <c:symbol val="diamond"/>
          <c:size val="6"/>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'pivot(all insights)'!$C$25:$C$26</c:f>
              <c:strCache>
                <c:ptCount val="1"/>
                <c:pt idx="0">
                  <c:v>Yes</c:v>
                </c:pt>
              </c:strCache>
            </c:strRef>
          </c:tx>
          <c:spPr>
            <a:ln w="28575" cap="rnd">
              <a:solidFill>
                <a:schemeClr val="tx2">
                  <a:lumMod val="50000"/>
                </a:schemeClr>
              </a:solidFill>
              <a:round/>
            </a:ln>
            <a:effectLst/>
          </c:spPr>
          <c:marker>
            <c:symbol val="diamond"/>
            <c:size val="6"/>
            <c:spPr>
              <a:solidFill>
                <a:schemeClr val="accent1"/>
              </a:solidFill>
              <a:ln w="9525">
                <a:solidFill>
                  <a:schemeClr val="accent1"/>
                </a:solidFill>
              </a:ln>
              <a:effectLst/>
            </c:spPr>
          </c:marker>
          <c:cat>
            <c:strRef>
              <c:f>'pivot(all insights)'!$B$27:$B$32</c:f>
              <c:strCache>
                <c:ptCount val="5"/>
                <c:pt idx="0">
                  <c:v>0-1 Miles</c:v>
                </c:pt>
                <c:pt idx="1">
                  <c:v>1-2 Miles</c:v>
                </c:pt>
                <c:pt idx="2">
                  <c:v>2-5 Miles</c:v>
                </c:pt>
                <c:pt idx="3">
                  <c:v>5-10 Miles</c:v>
                </c:pt>
                <c:pt idx="4">
                  <c:v>More than 10 Miles</c:v>
                </c:pt>
              </c:strCache>
            </c:strRef>
          </c:cat>
          <c:val>
            <c:numRef>
              <c:f>'pivot(all insights)'!$C$27:$C$32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C13F-4CB4-BCDE-B0907B38EB8D}"/>
            </c:ext>
          </c:extLst>
        </c:ser>
        <c:ser>
          <c:idx val="1"/>
          <c:order val="1"/>
          <c:tx>
            <c:strRef>
              <c:f>'pivot(all insights)'!$D$25:$D$26</c:f>
              <c:strCache>
                <c:ptCount val="1"/>
                <c:pt idx="0">
                  <c:v>No</c:v>
                </c:pt>
              </c:strCache>
            </c:strRef>
          </c:tx>
          <c:spPr>
            <a:ln w="28575" cap="rnd">
              <a:solidFill>
                <a:schemeClr val="bg2">
                  <a:lumMod val="50000"/>
                </a:schemeClr>
              </a:solidFill>
              <a:round/>
            </a:ln>
            <a:effectLst/>
          </c:spPr>
          <c:marker>
            <c:symbol val="diamond"/>
            <c:size val="6"/>
            <c:spPr>
              <a:solidFill>
                <a:schemeClr val="accent2"/>
              </a:solidFill>
              <a:ln w="9525">
                <a:solidFill>
                  <a:schemeClr val="accent2"/>
                </a:solidFill>
              </a:ln>
              <a:effectLst/>
            </c:spPr>
          </c:marker>
          <c:cat>
            <c:strRef>
              <c:f>'pivot(all insights)'!$B$27:$B$32</c:f>
              <c:strCache>
                <c:ptCount val="5"/>
                <c:pt idx="0">
                  <c:v>0-1 Miles</c:v>
                </c:pt>
                <c:pt idx="1">
                  <c:v>1-2 Miles</c:v>
                </c:pt>
                <c:pt idx="2">
                  <c:v>2-5 Miles</c:v>
                </c:pt>
                <c:pt idx="3">
                  <c:v>5-10 Miles</c:v>
                </c:pt>
                <c:pt idx="4">
                  <c:v>More than 10 Miles</c:v>
                </c:pt>
              </c:strCache>
            </c:strRef>
          </c:cat>
          <c:val>
            <c:numRef>
              <c:f>'pivot(all insights)'!$D$27:$D$32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C13F-4CB4-BCDE-B0907B38EB8D}"/>
            </c:ext>
          </c:extLst>
        </c:ser>
        <c:dLbls>
          <c:showLegendKey val="0"/>
          <c:showVal val="0"/>
          <c:showCatName val="0"/>
          <c:showSerName val="0"/>
          <c:showPercent val="0"/>
          <c:showBubbleSize val="0"/>
        </c:dLbls>
        <c:marker val="1"/>
        <c:smooth val="0"/>
        <c:axId val="970605583"/>
        <c:axId val="970595023"/>
      </c:lineChart>
      <c:catAx>
        <c:axId val="97060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595023"/>
        <c:crosses val="autoZero"/>
        <c:auto val="1"/>
        <c:lblAlgn val="ctr"/>
        <c:lblOffset val="100"/>
        <c:noMultiLvlLbl val="0"/>
      </c:catAx>
      <c:valAx>
        <c:axId val="970595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05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ln>
                  <a:noFill/>
                </a:ln>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Dataset.xlsx]pivot(all insights)!PivotTable3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Bike </a:t>
            </a:r>
            <a:r>
              <a:rPr lang="en-IN" b="1" baseline="0"/>
              <a:t>Sale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'pivot(all insights)'!$C$43:$C$44</c:f>
              <c:strCache>
                <c:ptCount val="1"/>
                <c:pt idx="0">
                  <c:v>Yes</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insights)'!$B$45:$B$48</c:f>
              <c:strCache>
                <c:ptCount val="3"/>
                <c:pt idx="0">
                  <c:v>Adolescent</c:v>
                </c:pt>
                <c:pt idx="1">
                  <c:v>Middle</c:v>
                </c:pt>
                <c:pt idx="2">
                  <c:v>Old</c:v>
                </c:pt>
              </c:strCache>
            </c:strRef>
          </c:cat>
          <c:val>
            <c:numRef>
              <c:f>'pivot(all insights)'!$C$45:$C$48</c:f>
              <c:numCache>
                <c:formatCode>General</c:formatCode>
                <c:ptCount val="3"/>
                <c:pt idx="0">
                  <c:v>39</c:v>
                </c:pt>
                <c:pt idx="1">
                  <c:v>388</c:v>
                </c:pt>
                <c:pt idx="2">
                  <c:v>54</c:v>
                </c:pt>
              </c:numCache>
            </c:numRef>
          </c:val>
          <c:extLst>
            <c:ext xmlns:c16="http://schemas.microsoft.com/office/drawing/2014/chart" uri="{C3380CC4-5D6E-409C-BE32-E72D297353CC}">
              <c16:uniqueId val="{00000000-13C2-4C77-B382-050D44CF4098}"/>
            </c:ext>
          </c:extLst>
        </c:ser>
        <c:ser>
          <c:idx val="1"/>
          <c:order val="1"/>
          <c:tx>
            <c:strRef>
              <c:f>'pivot(all insights)'!$D$43:$D$44</c:f>
              <c:strCache>
                <c:ptCount val="1"/>
                <c:pt idx="0">
                  <c:v>No</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insights)'!$B$45:$B$48</c:f>
              <c:strCache>
                <c:ptCount val="3"/>
                <c:pt idx="0">
                  <c:v>Adolescent</c:v>
                </c:pt>
                <c:pt idx="1">
                  <c:v>Middle</c:v>
                </c:pt>
                <c:pt idx="2">
                  <c:v>Old</c:v>
                </c:pt>
              </c:strCache>
            </c:strRef>
          </c:cat>
          <c:val>
            <c:numRef>
              <c:f>'pivot(all insights)'!$D$45:$D$48</c:f>
              <c:numCache>
                <c:formatCode>General</c:formatCode>
                <c:ptCount val="3"/>
                <c:pt idx="0">
                  <c:v>71</c:v>
                </c:pt>
                <c:pt idx="1">
                  <c:v>331</c:v>
                </c:pt>
                <c:pt idx="2">
                  <c:v>117</c:v>
                </c:pt>
              </c:numCache>
            </c:numRef>
          </c:val>
          <c:extLst>
            <c:ext xmlns:c16="http://schemas.microsoft.com/office/drawing/2014/chart" uri="{C3380CC4-5D6E-409C-BE32-E72D297353CC}">
              <c16:uniqueId val="{00000001-13C2-4C77-B382-050D44CF4098}"/>
            </c:ext>
          </c:extLst>
        </c:ser>
        <c:dLbls>
          <c:dLblPos val="ctr"/>
          <c:showLegendKey val="0"/>
          <c:showVal val="1"/>
          <c:showCatName val="0"/>
          <c:showSerName val="0"/>
          <c:showPercent val="0"/>
          <c:showBubbleSize val="0"/>
        </c:dLbls>
        <c:gapWidth val="150"/>
        <c:overlap val="100"/>
        <c:axId val="970617583"/>
        <c:axId val="970619503"/>
      </c:barChart>
      <c:catAx>
        <c:axId val="97061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19503"/>
        <c:crosses val="autoZero"/>
        <c:auto val="1"/>
        <c:lblAlgn val="ctr"/>
        <c:lblOffset val="100"/>
        <c:noMultiLvlLbl val="0"/>
      </c:catAx>
      <c:valAx>
        <c:axId val="970619503"/>
        <c:scaling>
          <c:orientation val="minMax"/>
        </c:scaling>
        <c:delete val="1"/>
        <c:axPos val="l"/>
        <c:numFmt formatCode="0%" sourceLinked="1"/>
        <c:majorTickMark val="none"/>
        <c:minorTickMark val="none"/>
        <c:tickLblPos val="nextTo"/>
        <c:crossAx val="9706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Dataset.xlsx]pivot(all insights)!PivotTable5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Purchased </a:t>
            </a:r>
            <a:r>
              <a:rPr lang="en-IN" b="1" baseline="0"/>
              <a:t>Sales By Marital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'pivot(all insights)'!$C$61:$C$62</c:f>
              <c:strCache>
                <c:ptCount val="1"/>
                <c:pt idx="0">
                  <c:v>Yes</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insights)'!$B$63:$B$65</c:f>
              <c:strCache>
                <c:ptCount val="2"/>
                <c:pt idx="0">
                  <c:v>Married</c:v>
                </c:pt>
                <c:pt idx="1">
                  <c:v>Single</c:v>
                </c:pt>
              </c:strCache>
            </c:strRef>
          </c:cat>
          <c:val>
            <c:numRef>
              <c:f>'pivot(all insights)'!$C$63:$C$65</c:f>
              <c:numCache>
                <c:formatCode>General</c:formatCode>
                <c:ptCount val="2"/>
                <c:pt idx="0">
                  <c:v>231</c:v>
                </c:pt>
                <c:pt idx="1">
                  <c:v>250</c:v>
                </c:pt>
              </c:numCache>
            </c:numRef>
          </c:val>
          <c:extLst>
            <c:ext xmlns:c16="http://schemas.microsoft.com/office/drawing/2014/chart" uri="{C3380CC4-5D6E-409C-BE32-E72D297353CC}">
              <c16:uniqueId val="{00000000-D2D6-46DA-B3C4-C19D2DBA3EF3}"/>
            </c:ext>
          </c:extLst>
        </c:ser>
        <c:ser>
          <c:idx val="1"/>
          <c:order val="1"/>
          <c:tx>
            <c:strRef>
              <c:f>'pivot(all insights)'!$D$61:$D$62</c:f>
              <c:strCache>
                <c:ptCount val="1"/>
                <c:pt idx="0">
                  <c:v>No</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insights)'!$B$63:$B$65</c:f>
              <c:strCache>
                <c:ptCount val="2"/>
                <c:pt idx="0">
                  <c:v>Married</c:v>
                </c:pt>
                <c:pt idx="1">
                  <c:v>Single</c:v>
                </c:pt>
              </c:strCache>
            </c:strRef>
          </c:cat>
          <c:val>
            <c:numRef>
              <c:f>'pivot(all insights)'!$D$63:$D$65</c:f>
              <c:numCache>
                <c:formatCode>General</c:formatCode>
                <c:ptCount val="2"/>
                <c:pt idx="0">
                  <c:v>307</c:v>
                </c:pt>
                <c:pt idx="1">
                  <c:v>212</c:v>
                </c:pt>
              </c:numCache>
            </c:numRef>
          </c:val>
          <c:extLst>
            <c:ext xmlns:c16="http://schemas.microsoft.com/office/drawing/2014/chart" uri="{C3380CC4-5D6E-409C-BE32-E72D297353CC}">
              <c16:uniqueId val="{00000001-D2D6-46DA-B3C4-C19D2DBA3EF3}"/>
            </c:ext>
          </c:extLst>
        </c:ser>
        <c:dLbls>
          <c:showLegendKey val="0"/>
          <c:showVal val="0"/>
          <c:showCatName val="0"/>
          <c:showSerName val="0"/>
          <c:showPercent val="0"/>
          <c:showBubbleSize val="0"/>
        </c:dLbls>
        <c:gapWidth val="182"/>
        <c:axId val="970594063"/>
        <c:axId val="970613263"/>
      </c:barChart>
      <c:catAx>
        <c:axId val="970594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13263"/>
        <c:crosses val="autoZero"/>
        <c:auto val="1"/>
        <c:lblAlgn val="ctr"/>
        <c:lblOffset val="100"/>
        <c:noMultiLvlLbl val="0"/>
      </c:catAx>
      <c:valAx>
        <c:axId val="970613263"/>
        <c:scaling>
          <c:orientation val="minMax"/>
        </c:scaling>
        <c:delete val="1"/>
        <c:axPos val="b"/>
        <c:numFmt formatCode="General" sourceLinked="1"/>
        <c:majorTickMark val="out"/>
        <c:minorTickMark val="none"/>
        <c:tickLblPos val="nextTo"/>
        <c:crossAx val="97059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Dataset.xlsx]pivot(all insights)!PivotTable6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t>
            </a:r>
            <a:r>
              <a:rPr lang="en-IN"/>
              <a:t>Sales</a:t>
            </a:r>
            <a:r>
              <a:rPr lang="en-IN" baseline="0"/>
              <a:t> by </a:t>
            </a:r>
            <a:r>
              <a:rPr lang="en-IN" b="1" baseline="0"/>
              <a:t>Occupation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'pivot(all insights)'!$C$78:$C$79</c:f>
              <c:strCache>
                <c:ptCount val="1"/>
                <c:pt idx="0">
                  <c:v>No</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insights)'!$B$80:$B$85</c:f>
              <c:strCache>
                <c:ptCount val="5"/>
                <c:pt idx="0">
                  <c:v>Clerical</c:v>
                </c:pt>
                <c:pt idx="1">
                  <c:v>Management</c:v>
                </c:pt>
                <c:pt idx="2">
                  <c:v>Manual</c:v>
                </c:pt>
                <c:pt idx="3">
                  <c:v>Professional</c:v>
                </c:pt>
                <c:pt idx="4">
                  <c:v>Skilled Manual</c:v>
                </c:pt>
              </c:strCache>
            </c:strRef>
          </c:cat>
          <c:val>
            <c:numRef>
              <c:f>'pivot(all insights)'!$C$80:$C$85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0EC8-41BF-B39D-11A84138EFC5}"/>
            </c:ext>
          </c:extLst>
        </c:ser>
        <c:ser>
          <c:idx val="1"/>
          <c:order val="1"/>
          <c:tx>
            <c:strRef>
              <c:f>'pivot(all insights)'!$D$78:$D$79</c:f>
              <c:strCache>
                <c:ptCount val="1"/>
                <c:pt idx="0">
                  <c:v>Yes</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'pivot(all insights)'!$B$80:$B$85</c:f>
              <c:strCache>
                <c:ptCount val="5"/>
                <c:pt idx="0">
                  <c:v>Clerical</c:v>
                </c:pt>
                <c:pt idx="1">
                  <c:v>Management</c:v>
                </c:pt>
                <c:pt idx="2">
                  <c:v>Manual</c:v>
                </c:pt>
                <c:pt idx="3">
                  <c:v>Professional</c:v>
                </c:pt>
                <c:pt idx="4">
                  <c:v>Skilled Manual</c:v>
                </c:pt>
              </c:strCache>
            </c:strRef>
          </c:cat>
          <c:val>
            <c:numRef>
              <c:f>'pivot(all insights)'!$D$80:$D$85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0EC8-41BF-B39D-11A84138EFC5}"/>
            </c:ext>
          </c:extLst>
        </c:ser>
        <c:dLbls>
          <c:showLegendKey val="0"/>
          <c:showVal val="0"/>
          <c:showCatName val="0"/>
          <c:showSerName val="0"/>
          <c:showPercent val="0"/>
          <c:showBubbleSize val="0"/>
        </c:dLbls>
        <c:gapWidth val="219"/>
        <c:overlap val="-27"/>
        <c:axId val="970621423"/>
        <c:axId val="970622383"/>
      </c:barChart>
      <c:catAx>
        <c:axId val="97062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Occupation</a:t>
                </a:r>
              </a:p>
            </c:rich>
          </c:tx>
          <c:layout>
            <c:manualLayout>
              <c:xMode val="edge"/>
              <c:yMode val="edge"/>
              <c:x val="0.41551859142607173"/>
              <c:y val="0.9162535494659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22383"/>
        <c:crosses val="autoZero"/>
        <c:auto val="1"/>
        <c:lblAlgn val="ctr"/>
        <c:lblOffset val="100"/>
        <c:noMultiLvlLbl val="0"/>
      </c:catAx>
      <c:valAx>
        <c:axId val="970622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2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160565</xdr:colOff>
      <xdr:row>0</xdr:row>
      <xdr:rowOff>123825</xdr:rowOff>
    </xdr:from>
    <xdr:to>
      <xdr:col>15</xdr:col>
      <xdr:colOff>198666</xdr:colOff>
      <xdr:row>4</xdr:row>
      <xdr:rowOff>57150</xdr:rowOff>
    </xdr:to>
    <xdr:sp macro="" textlink="">
      <xdr:nvSpPr>
        <xdr:cNvPr id="2" name="Rectangle: Rounded Corners 1">
          <a:extLst>
            <a:ext uri="{FF2B5EF4-FFF2-40B4-BE49-F238E27FC236}">
              <a16:creationId xmlns:a16="http://schemas.microsoft.com/office/drawing/2014/main" id="{49EC5122-CA0C-478A-F66E-5C38594C19DB}"/>
            </a:ext>
          </a:extLst>
        </xdr:cNvPr>
        <xdr:cNvSpPr/>
      </xdr:nvSpPr>
      <xdr:spPr>
        <a:xfrm>
          <a:off x="3222172" y="123825"/>
          <a:ext cx="6161315" cy="69532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Segoe UI" panose="020B0502040204020203" pitchFamily="34" charset="0"/>
              <a:cs typeface="Segoe UI" panose="020B0502040204020203" pitchFamily="34" charset="0"/>
            </a:rPr>
            <a:t>Bike</a:t>
          </a:r>
          <a:r>
            <a:rPr lang="en-IN" sz="2800" b="1" baseline="0">
              <a:latin typeface="Segoe UI" panose="020B0502040204020203" pitchFamily="34" charset="0"/>
              <a:cs typeface="Segoe UI" panose="020B0502040204020203" pitchFamily="34" charset="0"/>
            </a:rPr>
            <a:t> Sales Dashboard</a:t>
          </a:r>
          <a:endParaRPr lang="en-IN" sz="2800" b="1">
            <a:latin typeface="Segoe UI" panose="020B0502040204020203" pitchFamily="34" charset="0"/>
            <a:cs typeface="Segoe UI" panose="020B0502040204020203" pitchFamily="34" charset="0"/>
          </a:endParaRPr>
        </a:p>
      </xdr:txBody>
    </xdr:sp>
    <xdr:clientData/>
  </xdr:twoCellAnchor>
  <xdr:twoCellAnchor>
    <xdr:from>
      <xdr:col>1</xdr:col>
      <xdr:colOff>545167</xdr:colOff>
      <xdr:row>6</xdr:row>
      <xdr:rowOff>6462</xdr:rowOff>
    </xdr:from>
    <xdr:to>
      <xdr:col>10</xdr:col>
      <xdr:colOff>19051</xdr:colOff>
      <xdr:row>22</xdr:row>
      <xdr:rowOff>106476</xdr:rowOff>
    </xdr:to>
    <xdr:graphicFrame macro="">
      <xdr:nvGraphicFramePr>
        <xdr:cNvPr id="3" name="Chart 2">
          <a:extLst>
            <a:ext uri="{FF2B5EF4-FFF2-40B4-BE49-F238E27FC236}">
              <a16:creationId xmlns:a16="http://schemas.microsoft.com/office/drawing/2014/main" id="{3119C000-D729-40BC-BF08-E64566F28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545167</xdr:colOff>
      <xdr:row>39</xdr:row>
      <xdr:rowOff>27214</xdr:rowOff>
    </xdr:from>
    <xdr:to>
      <xdr:col>17</xdr:col>
      <xdr:colOff>502423</xdr:colOff>
      <xdr:row>55</xdr:row>
      <xdr:rowOff>104535</xdr:rowOff>
    </xdr:to>
    <xdr:graphicFrame macro="">
      <xdr:nvGraphicFramePr>
        <xdr:cNvPr id="4" name="Chart 3">
          <a:extLst>
            <a:ext uri="{FF2B5EF4-FFF2-40B4-BE49-F238E27FC236}">
              <a16:creationId xmlns:a16="http://schemas.microsoft.com/office/drawing/2014/main" id="{77B58264-895F-4A1B-9547-7380B5DAC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211230</xdr:colOff>
      <xdr:row>6</xdr:row>
      <xdr:rowOff>7424</xdr:rowOff>
    </xdr:from>
    <xdr:to>
      <xdr:col>17</xdr:col>
      <xdr:colOff>502423</xdr:colOff>
      <xdr:row>22</xdr:row>
      <xdr:rowOff>105515</xdr:rowOff>
    </xdr:to>
    <xdr:graphicFrame macro="">
      <xdr:nvGraphicFramePr>
        <xdr:cNvPr id="5" name="Chart 4">
          <a:extLst>
            <a:ext uri="{FF2B5EF4-FFF2-40B4-BE49-F238E27FC236}">
              <a16:creationId xmlns:a16="http://schemas.microsoft.com/office/drawing/2014/main" id="{D21FAFE1-39E8-4F2D-B955-981DC33AB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552450</xdr:colOff>
      <xdr:row>24</xdr:row>
      <xdr:rowOff>0</xdr:rowOff>
    </xdr:from>
    <xdr:to>
      <xdr:col>10</xdr:col>
      <xdr:colOff>0</xdr:colOff>
      <xdr:row>38</xdr:row>
      <xdr:rowOff>76200</xdr:rowOff>
    </xdr:to>
    <xdr:graphicFrame macro="">
      <xdr:nvGraphicFramePr>
        <xdr:cNvPr id="6" name="Chart 5">
          <a:extLst>
            <a:ext uri="{FF2B5EF4-FFF2-40B4-BE49-F238E27FC236}">
              <a16:creationId xmlns:a16="http://schemas.microsoft.com/office/drawing/2014/main" id="{C0FE0C74-77BC-4875-8355-DEB6004DF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197623</xdr:colOff>
      <xdr:row>24</xdr:row>
      <xdr:rowOff>0</xdr:rowOff>
    </xdr:from>
    <xdr:to>
      <xdr:col>17</xdr:col>
      <xdr:colOff>502423</xdr:colOff>
      <xdr:row>38</xdr:row>
      <xdr:rowOff>76200</xdr:rowOff>
    </xdr:to>
    <xdr:graphicFrame macro="">
      <xdr:nvGraphicFramePr>
        <xdr:cNvPr id="7" name="Chart 6">
          <a:extLst>
            <a:ext uri="{FF2B5EF4-FFF2-40B4-BE49-F238E27FC236}">
              <a16:creationId xmlns:a16="http://schemas.microsoft.com/office/drawing/2014/main" id="{92FB1BC1-224A-4BBF-AE6E-1689659AA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492303</xdr:colOff>
      <xdr:row>2</xdr:row>
      <xdr:rowOff>52487</xdr:rowOff>
    </xdr:from>
    <xdr:to>
      <xdr:col>21</xdr:col>
      <xdr:colOff>486432</xdr:colOff>
      <xdr:row>10</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5CBD975-EF44-4CA8-54B6-53267AE343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84421" y="433487"/>
              <a:ext cx="1809482" cy="1471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492303</xdr:colOff>
      <xdr:row>11</xdr:row>
      <xdr:rowOff>53511</xdr:rowOff>
    </xdr:from>
    <xdr:to>
      <xdr:col>21</xdr:col>
      <xdr:colOff>486432</xdr:colOff>
      <xdr:row>21</xdr:row>
      <xdr:rowOff>103277</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28BD6452-1C21-7AFC-4FD1-30DABC9430C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384421" y="2149011"/>
              <a:ext cx="1809482" cy="1954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nshu Kumar" refreshedDate="46128.99968148148" createdVersion="8" refreshedVersion="8" minRefreshableVersion="3" recordCount="1000" xr:uid="{4279B928-B12F-44E5-B3E4-1F97FB840B5A}">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Middle"/>
        <s v="Old"/>
        <s v="Adolescent"/>
      </sharedItems>
    </cacheField>
    <cacheField name="Is Purchased ?" numFmtId="0">
      <sharedItems count="2">
        <s v="No"/>
        <s v="Yes"/>
      </sharedItems>
    </cacheField>
  </cacheFields>
  <extLst>
    <ext xmlns:x14="http://schemas.microsoft.com/office/spreadsheetml/2009/9/main" uri="{725AE2AE-9491-48be-B2B4-4EB974FC3084}">
      <x14:pivotCacheDefinition pivotCacheId="1276666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0"/>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0"/>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0"/>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0"/>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0"/>
    <x v="1"/>
  </r>
  <r>
    <n v="12212"/>
    <x v="0"/>
    <x v="0"/>
    <n v="10000"/>
    <n v="0"/>
    <x v="4"/>
    <x v="3"/>
    <s v="Yes"/>
    <n v="0"/>
    <x v="0"/>
    <x v="0"/>
    <n v="37"/>
    <x v="0"/>
    <x v="1"/>
  </r>
  <r>
    <n v="25529"/>
    <x v="1"/>
    <x v="1"/>
    <n v="10000"/>
    <n v="1"/>
    <x v="4"/>
    <x v="3"/>
    <s v="Yes"/>
    <n v="0"/>
    <x v="0"/>
    <x v="0"/>
    <n v="44"/>
    <x v="0"/>
    <x v="0"/>
  </r>
  <r>
    <n v="22170"/>
    <x v="0"/>
    <x v="0"/>
    <n v="30000"/>
    <n v="3"/>
    <x v="1"/>
    <x v="1"/>
    <s v="No"/>
    <n v="2"/>
    <x v="3"/>
    <x v="1"/>
    <n v="55"/>
    <x v="0"/>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0"/>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0"/>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0"/>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0"/>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0"/>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0"/>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0"/>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0"/>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0"/>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0"/>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0"/>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0"/>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C3089-752B-4D61-8122-769A7084BA95}"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B61:E65" firstHeaderRow="1" firstDataRow="2" firstDataCol="1"/>
  <pivotFields count="14">
    <pivotField dataField="1" showAll="0"/>
    <pivotField axis="axisRow"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1"/>
        <item x="0"/>
        <item t="default"/>
      </items>
    </pivotField>
  </pivotFields>
  <rowFields count="1">
    <field x="1"/>
  </rowFields>
  <rowItems count="3">
    <i>
      <x/>
    </i>
    <i>
      <x v="1"/>
    </i>
    <i t="grand">
      <x/>
    </i>
  </rowItems>
  <colFields count="1">
    <field x="13"/>
  </colFields>
  <colItems count="3">
    <i>
      <x/>
    </i>
    <i>
      <x v="1"/>
    </i>
    <i t="grand">
      <x/>
    </i>
  </colItems>
  <dataFields count="1">
    <dataField name="Count of ID" fld="0" subtotal="count" baseField="1" baseItem="0"/>
  </dataFields>
  <chartFormats count="6">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2F5F79-A7A3-4433-9A43-52EA1F9E1E6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B43:E48" firstHeaderRow="1" firstDataRow="2" firstDataCol="1"/>
  <pivotFields count="14">
    <pivotField dataField="1" showAll="0"/>
    <pivotField showAll="0"/>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showAll="0" sortType="descending">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9" baseItem="0"/>
  </dataFields>
  <chartFormats count="6">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F58A5-12C2-462B-A8C6-BC793CE29B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5:E32" firstHeaderRow="1" firstDataRow="2" firstDataCol="1"/>
  <pivotFields count="14">
    <pivotField dataField="1" showAll="0"/>
    <pivotField showAll="0"/>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showAll="0" sortType="descending">
      <items count="3">
        <item x="1"/>
        <item x="0"/>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ID" fld="0" subtotal="count" baseField="9" baseItem="0"/>
  </dataFields>
  <chartFormats count="6">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1"/>
          </reference>
        </references>
      </pivotArea>
    </chartFormat>
    <chartFormat chart="4" format="7" series="1">
      <pivotArea type="data" outline="0" fieldPosition="0">
        <references count="2">
          <reference field="4294967294" count="1" selected="0">
            <x v="0"/>
          </reference>
          <reference field="13" count="1" selected="0">
            <x v="0"/>
          </reference>
        </references>
      </pivotArea>
    </chartFormat>
    <chartFormat chart="4"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D902B-DDE3-4A84-9B90-F4D6916410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E6"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sortType="descending">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4" format="7" series="1">
      <pivotArea type="data" outline="0" fieldPosition="0">
        <references count="2">
          <reference field="4294967294" count="1" selected="0">
            <x v="0"/>
          </reference>
          <reference field="13" count="1" selected="0">
            <x v="0"/>
          </reference>
        </references>
      </pivotArea>
    </chartFormat>
    <chartFormat chart="4" format="8" series="1">
      <pivotArea type="data" outline="0" fieldPosition="0">
        <references count="2">
          <reference field="4294967294" count="1" selected="0">
            <x v="0"/>
          </reference>
          <reference field="13" count="1" selected="0">
            <x v="1"/>
          </reference>
        </references>
      </pivotArea>
    </chartFormat>
    <chartFormat chart="5" format="7" series="1">
      <pivotArea type="data" outline="0" fieldPosition="0">
        <references count="2">
          <reference field="4294967294" count="1" selected="0">
            <x v="0"/>
          </reference>
          <reference field="13" count="1" selected="0">
            <x v="0"/>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3B8D7-531B-4499-A6BC-87E8D232AF43}"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B78:E85" firstHeaderRow="1" firstDataRow="2" firstDataCol="1"/>
  <pivotFields count="14">
    <pivotField dataField="1" showAll="0"/>
    <pivotField showAll="0"/>
    <pivotField showAll="0">
      <items count="3">
        <item x="0"/>
        <item x="1"/>
        <item t="default"/>
      </items>
    </pivotField>
    <pivotField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ID" fld="0" subtotal="count" baseField="6" baseItem="0"/>
  </dataFields>
  <chartFormats count="6">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54D3DF-5CCA-4AF6-9EAC-D5D668E09A75}" sourceName="Region">
  <pivotTables>
    <pivotTable tabId="3" name="PivotTable3"/>
    <pivotTable tabId="3" name="PivotTable1"/>
    <pivotTable tabId="3" name="PivotTable2"/>
    <pivotTable tabId="3" name="PivotTable5"/>
    <pivotTable tabId="3" name="PivotTable6"/>
  </pivotTables>
  <data>
    <tabular pivotCacheId="127666686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C40DF60-8A46-49A3-A442-7EF7C29372D8}" sourceName="Education">
  <pivotTables>
    <pivotTable tabId="3" name="PivotTable3"/>
    <pivotTable tabId="3" name="PivotTable1"/>
    <pivotTable tabId="3" name="PivotTable2"/>
    <pivotTable tabId="3" name="PivotTable5"/>
    <pivotTable tabId="3" name="PivotTable6"/>
  </pivotTables>
  <data>
    <tabular pivotCacheId="127666686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9E9190-14A9-4AA1-A42B-36288E6F634A}" cache="Slicer_Region" caption="Region" style="Slicer Style 1" rowHeight="241300"/>
  <slicer name="Education" xr10:uid="{17191A82-0F57-4FAF-BC58-BEE0E7CD026B}" cache="Slicer_Education" caption="Education" style="Slicer Style 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7" sqref="D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F83A-7FF5-442A-A043-6FA86957B869}">
  <dimension ref="A1:N1001"/>
  <sheetViews>
    <sheetView tabSelected="1" zoomScale="85" zoomScaleNormal="85" workbookViewId="0">
      <selection activeCell="I7" sqref="I7"/>
    </sheetView>
  </sheetViews>
  <sheetFormatPr defaultRowHeight="15" x14ac:dyDescent="0.25"/>
  <cols>
    <col min="1" max="1" width="6.140625" bestFit="1" customWidth="1"/>
    <col min="2" max="2" width="17" bestFit="1" customWidth="1"/>
    <col min="3" max="4" width="10.5703125" bestFit="1" customWidth="1"/>
    <col min="5" max="5" width="11.5703125" bestFit="1" customWidth="1"/>
    <col min="6" max="6" width="18.85546875" bestFit="1" customWidth="1"/>
    <col min="7" max="7" width="15.28515625" bestFit="1" customWidth="1"/>
    <col min="8" max="8" width="15.5703125" bestFit="1" customWidth="1"/>
    <col min="9" max="9" width="7.7109375" bestFit="1" customWidth="1"/>
    <col min="10" max="10" width="21.28515625" bestFit="1" customWidth="1"/>
    <col min="11" max="11" width="14.28515625" bestFit="1" customWidth="1"/>
    <col min="12" max="12" width="7.140625" bestFit="1" customWidth="1"/>
    <col min="13" max="13" width="15.42578125" bestFit="1" customWidth="1"/>
    <col min="14" max="14" width="17.140625"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50</v>
      </c>
    </row>
    <row r="2" spans="1:14" x14ac:dyDescent="0.25">
      <c r="A2">
        <v>12496</v>
      </c>
      <c r="B2" t="s">
        <v>36</v>
      </c>
      <c r="C2" t="s">
        <v>39</v>
      </c>
      <c r="D2" s="3">
        <v>40000</v>
      </c>
      <c r="E2">
        <v>1</v>
      </c>
      <c r="F2" t="s">
        <v>13</v>
      </c>
      <c r="G2" t="s">
        <v>14</v>
      </c>
      <c r="H2" t="s">
        <v>15</v>
      </c>
      <c r="I2">
        <v>0</v>
      </c>
      <c r="J2" t="s">
        <v>16</v>
      </c>
      <c r="K2" t="s">
        <v>17</v>
      </c>
      <c r="L2">
        <v>42</v>
      </c>
      <c r="M2" t="str">
        <f>IF(L2&gt;55,"Old",IF(L2&gt;=31,"Middle",IF(L2&lt;31,"Adolescent","Invalid-age")))</f>
        <v>Middle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IF(L3&gt;55,"Old",IF(L3&gt;=31,"Middle",IF(L3&lt;31,"Adolescent","Invalid-age")))</f>
        <v>Middle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v>
      </c>
      <c r="N5" t="s">
        <v>15</v>
      </c>
    </row>
    <row r="6" spans="1:14" x14ac:dyDescent="0.25">
      <c r="A6">
        <v>25597</v>
      </c>
      <c r="B6" t="s">
        <v>37</v>
      </c>
      <c r="C6" t="s">
        <v>38</v>
      </c>
      <c r="D6" s="3">
        <v>30000</v>
      </c>
      <c r="E6">
        <v>0</v>
      </c>
      <c r="F6" t="s">
        <v>13</v>
      </c>
      <c r="G6" t="s">
        <v>20</v>
      </c>
      <c r="H6" t="s">
        <v>18</v>
      </c>
      <c r="I6">
        <v>0</v>
      </c>
      <c r="J6" t="s">
        <v>16</v>
      </c>
      <c r="K6" t="s">
        <v>17</v>
      </c>
      <c r="L6">
        <v>36</v>
      </c>
      <c r="M6" t="str">
        <f t="shared" si="0"/>
        <v>Middle</v>
      </c>
      <c r="N6" t="s">
        <v>15</v>
      </c>
    </row>
    <row r="7" spans="1:14" x14ac:dyDescent="0.25">
      <c r="A7">
        <v>13507</v>
      </c>
      <c r="B7" t="s">
        <v>36</v>
      </c>
      <c r="C7" t="s">
        <v>39</v>
      </c>
      <c r="D7" s="3">
        <v>10000</v>
      </c>
      <c r="E7">
        <v>2</v>
      </c>
      <c r="F7" t="s">
        <v>19</v>
      </c>
      <c r="G7" t="s">
        <v>25</v>
      </c>
      <c r="H7" t="s">
        <v>15</v>
      </c>
      <c r="I7">
        <v>0</v>
      </c>
      <c r="J7" t="s">
        <v>26</v>
      </c>
      <c r="K7" t="s">
        <v>17</v>
      </c>
      <c r="L7">
        <v>50</v>
      </c>
      <c r="M7" t="str">
        <f t="shared" si="0"/>
        <v>Middle</v>
      </c>
      <c r="N7" t="s">
        <v>18</v>
      </c>
    </row>
    <row r="8" spans="1:14" x14ac:dyDescent="0.25">
      <c r="A8">
        <v>27974</v>
      </c>
      <c r="B8" t="s">
        <v>37</v>
      </c>
      <c r="C8" t="s">
        <v>38</v>
      </c>
      <c r="D8" s="3">
        <v>160000</v>
      </c>
      <c r="E8">
        <v>2</v>
      </c>
      <c r="F8" t="s">
        <v>27</v>
      </c>
      <c r="G8" t="s">
        <v>28</v>
      </c>
      <c r="H8" t="s">
        <v>15</v>
      </c>
      <c r="I8">
        <v>4</v>
      </c>
      <c r="J8" t="s">
        <v>16</v>
      </c>
      <c r="K8" t="s">
        <v>24</v>
      </c>
      <c r="L8">
        <v>33</v>
      </c>
      <c r="M8" t="str">
        <f t="shared" si="0"/>
        <v>Middle</v>
      </c>
      <c r="N8" t="s">
        <v>15</v>
      </c>
    </row>
    <row r="9" spans="1:14" x14ac:dyDescent="0.25">
      <c r="A9">
        <v>19364</v>
      </c>
      <c r="B9" t="s">
        <v>36</v>
      </c>
      <c r="C9" t="s">
        <v>38</v>
      </c>
      <c r="D9" s="3">
        <v>40000</v>
      </c>
      <c r="E9">
        <v>1</v>
      </c>
      <c r="F9" t="s">
        <v>13</v>
      </c>
      <c r="G9" t="s">
        <v>14</v>
      </c>
      <c r="H9" t="s">
        <v>15</v>
      </c>
      <c r="I9">
        <v>0</v>
      </c>
      <c r="J9" t="s">
        <v>16</v>
      </c>
      <c r="K9" t="s">
        <v>17</v>
      </c>
      <c r="L9">
        <v>43</v>
      </c>
      <c r="M9" t="str">
        <f t="shared" si="0"/>
        <v>Middle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IF(L67&gt;55,"Old",IF(L67&gt;=31,"Middle",IF(L67&lt;31,"Adolescent","Invalid-age")))</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IF(L131&gt;55,"Old",IF(L131&gt;=31,"Middle",IF(L131&lt;31,"Adolescent","Invalid-age")))</f>
        <v>Middle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Middle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IF(L195&gt;55,"Old",IF(L195&gt;=31,"Middle",IF(L195&lt;31,"Adolescent","Invalid-age")))</f>
        <v>Middle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IF(L259&gt;55,"Old",IF(L259&gt;=31,"Middle",IF(L259&lt;31,"Adolescent","Invalid-age")))</f>
        <v>Middle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IF(L323&gt;55,"Old",IF(L323&gt;=31,"Middle",IF(L323&lt;31,"Adolescent","Invalid-age")))</f>
        <v>Middle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IF(L387&gt;55,"Old",IF(L387&gt;=31,"Middle",IF(L387&lt;31,"Adolescent","Invalid-age")))</f>
        <v>Middle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IF(L451&gt;55,"Old",IF(L451&gt;=31,"Middle",IF(L451&lt;31,"Adolescent","Invalid-age")))</f>
        <v>Middle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IF(L515&gt;55,"Old",IF(L515&gt;=31,"Middle",IF(L515&lt;31,"Adolescent","Invalid-age")))</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IF(L579&gt;55,"Old",IF(L579&gt;=31,"Middle",IF(L579&lt;31,"Adolescent","Invalid-age")))</f>
        <v>Middle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IF(L643&gt;55,"Old",IF(L643&gt;=31,"Middle",IF(L643&lt;31,"Adolescent","Invalid-age")))</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IF(L707&gt;55,"Old",IF(L707&gt;=31,"Middle",IF(L707&lt;31,"Adolescent","Invalid-age")))</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Middle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IF(L771&gt;55,"Old",IF(L771&gt;=31,"Middle",IF(L771&lt;31,"Adolescent","Invalid-age")))</f>
        <v>Middle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Middle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IF(L835&gt;55,"Old",IF(L835&gt;=31,"Middle",IF(L835&lt;31,"Adolescent","Invalid-age")))</f>
        <v>Middle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Middle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Middle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IF(L899&gt;55,"Old",IF(L899&gt;=31,"Middle",IF(L899&lt;31,"Adolescent","Invalid-age")))</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IF(L963&gt;55,"Old",IF(L963&gt;=31,"Middle",IF(L963&lt;31,"Adolescent","Invalid-age")))</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Middle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v>
      </c>
      <c r="N1001" t="s">
        <v>15</v>
      </c>
    </row>
  </sheetData>
  <autoFilter ref="A1:N1001" xr:uid="{7234F83A-7FF5-442A-A043-6FA86957B86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B264B-FAD4-478F-8C7C-C9CF252B843E}">
  <dimension ref="B2:G85"/>
  <sheetViews>
    <sheetView zoomScale="85" zoomScaleNormal="85" workbookViewId="0">
      <selection activeCell="F9" sqref="F9"/>
    </sheetView>
  </sheetViews>
  <sheetFormatPr defaultRowHeight="15" x14ac:dyDescent="0.25"/>
  <cols>
    <col min="2" max="2" width="19.140625" bestFit="1" customWidth="1"/>
    <col min="3" max="3" width="16.28515625" bestFit="1" customWidth="1"/>
    <col min="4" max="4" width="4.140625" bestFit="1" customWidth="1"/>
    <col min="5" max="5" width="11.28515625" bestFit="1" customWidth="1"/>
  </cols>
  <sheetData>
    <row r="2" spans="2:7" x14ac:dyDescent="0.25">
      <c r="B2" s="4" t="s">
        <v>44</v>
      </c>
      <c r="C2" s="4" t="s">
        <v>43</v>
      </c>
    </row>
    <row r="3" spans="2:7" x14ac:dyDescent="0.25">
      <c r="B3" s="4" t="s">
        <v>41</v>
      </c>
      <c r="C3" t="s">
        <v>15</v>
      </c>
      <c r="D3" t="s">
        <v>18</v>
      </c>
      <c r="E3" t="s">
        <v>42</v>
      </c>
      <c r="G3" t="s">
        <v>51</v>
      </c>
    </row>
    <row r="4" spans="2:7" x14ac:dyDescent="0.25">
      <c r="B4" s="5" t="s">
        <v>39</v>
      </c>
      <c r="C4" s="3">
        <v>55774.058577405856</v>
      </c>
      <c r="D4" s="3">
        <v>53440</v>
      </c>
      <c r="E4" s="3">
        <v>54580.777096114522</v>
      </c>
    </row>
    <row r="5" spans="2:7" x14ac:dyDescent="0.25">
      <c r="B5" s="5" t="s">
        <v>38</v>
      </c>
      <c r="C5" s="3">
        <v>60123.966942148763</v>
      </c>
      <c r="D5" s="3">
        <v>56208.178438661707</v>
      </c>
      <c r="E5" s="3">
        <v>58062.62230919765</v>
      </c>
    </row>
    <row r="6" spans="2:7" x14ac:dyDescent="0.25">
      <c r="B6" s="5" t="s">
        <v>42</v>
      </c>
      <c r="C6" s="3">
        <v>57962.577962577961</v>
      </c>
      <c r="D6" s="3">
        <v>54874.759152215796</v>
      </c>
      <c r="E6" s="3">
        <v>56360</v>
      </c>
    </row>
    <row r="25" spans="2:7" x14ac:dyDescent="0.25">
      <c r="B25" s="4" t="s">
        <v>45</v>
      </c>
      <c r="C25" s="4" t="s">
        <v>43</v>
      </c>
    </row>
    <row r="26" spans="2:7" x14ac:dyDescent="0.25">
      <c r="B26" s="4" t="s">
        <v>41</v>
      </c>
      <c r="C26" t="s">
        <v>15</v>
      </c>
      <c r="D26" t="s">
        <v>18</v>
      </c>
      <c r="E26" t="s">
        <v>42</v>
      </c>
    </row>
    <row r="27" spans="2:7" x14ac:dyDescent="0.25">
      <c r="B27" s="5" t="s">
        <v>16</v>
      </c>
      <c r="C27" s="7">
        <v>200</v>
      </c>
      <c r="D27" s="7">
        <v>166</v>
      </c>
      <c r="E27" s="7">
        <v>366</v>
      </c>
      <c r="G27" t="s">
        <v>52</v>
      </c>
    </row>
    <row r="28" spans="2:7" x14ac:dyDescent="0.25">
      <c r="B28" s="5" t="s">
        <v>26</v>
      </c>
      <c r="C28" s="7">
        <v>77</v>
      </c>
      <c r="D28" s="7">
        <v>92</v>
      </c>
      <c r="E28" s="7">
        <v>169</v>
      </c>
    </row>
    <row r="29" spans="2:7" x14ac:dyDescent="0.25">
      <c r="B29" s="5" t="s">
        <v>22</v>
      </c>
      <c r="C29" s="7">
        <v>95</v>
      </c>
      <c r="D29" s="7">
        <v>67</v>
      </c>
      <c r="E29" s="7">
        <v>162</v>
      </c>
    </row>
    <row r="30" spans="2:7" x14ac:dyDescent="0.25">
      <c r="B30" s="5" t="s">
        <v>23</v>
      </c>
      <c r="C30" s="7">
        <v>76</v>
      </c>
      <c r="D30" s="7">
        <v>116</v>
      </c>
      <c r="E30" s="7">
        <v>192</v>
      </c>
    </row>
    <row r="31" spans="2:7" x14ac:dyDescent="0.25">
      <c r="B31" s="5" t="s">
        <v>46</v>
      </c>
      <c r="C31" s="7">
        <v>33</v>
      </c>
      <c r="D31" s="7">
        <v>78</v>
      </c>
      <c r="E31" s="7">
        <v>111</v>
      </c>
    </row>
    <row r="32" spans="2:7" x14ac:dyDescent="0.25">
      <c r="B32" s="5" t="s">
        <v>42</v>
      </c>
      <c r="C32" s="7">
        <v>481</v>
      </c>
      <c r="D32" s="7">
        <v>519</v>
      </c>
      <c r="E32" s="7">
        <v>1000</v>
      </c>
    </row>
    <row r="43" spans="2:7" x14ac:dyDescent="0.25">
      <c r="B43" s="4" t="s">
        <v>45</v>
      </c>
      <c r="C43" s="4" t="s">
        <v>43</v>
      </c>
    </row>
    <row r="44" spans="2:7" x14ac:dyDescent="0.25">
      <c r="B44" s="4" t="s">
        <v>41</v>
      </c>
      <c r="C44" t="s">
        <v>15</v>
      </c>
      <c r="D44" t="s">
        <v>18</v>
      </c>
      <c r="E44" t="s">
        <v>42</v>
      </c>
    </row>
    <row r="45" spans="2:7" x14ac:dyDescent="0.25">
      <c r="B45" s="5" t="s">
        <v>47</v>
      </c>
      <c r="C45" s="7">
        <v>39</v>
      </c>
      <c r="D45" s="7">
        <v>71</v>
      </c>
      <c r="E45" s="7">
        <v>110</v>
      </c>
      <c r="G45" t="s">
        <v>53</v>
      </c>
    </row>
    <row r="46" spans="2:7" x14ac:dyDescent="0.25">
      <c r="B46" s="5" t="s">
        <v>48</v>
      </c>
      <c r="C46" s="7">
        <v>388</v>
      </c>
      <c r="D46" s="7">
        <v>331</v>
      </c>
      <c r="E46" s="7">
        <v>719</v>
      </c>
    </row>
    <row r="47" spans="2:7" x14ac:dyDescent="0.25">
      <c r="B47" s="5" t="s">
        <v>49</v>
      </c>
      <c r="C47" s="7">
        <v>54</v>
      </c>
      <c r="D47" s="7">
        <v>117</v>
      </c>
      <c r="E47" s="7">
        <v>171</v>
      </c>
    </row>
    <row r="48" spans="2:7" x14ac:dyDescent="0.25">
      <c r="B48" s="5" t="s">
        <v>42</v>
      </c>
      <c r="C48" s="7">
        <v>481</v>
      </c>
      <c r="D48" s="7">
        <v>519</v>
      </c>
      <c r="E48" s="7">
        <v>1000</v>
      </c>
    </row>
    <row r="61" spans="2:7" x14ac:dyDescent="0.25">
      <c r="B61" s="4" t="s">
        <v>45</v>
      </c>
      <c r="C61" s="4" t="s">
        <v>43</v>
      </c>
    </row>
    <row r="62" spans="2:7" x14ac:dyDescent="0.25">
      <c r="B62" s="4" t="s">
        <v>41</v>
      </c>
      <c r="C62" t="s">
        <v>15</v>
      </c>
      <c r="D62" t="s">
        <v>18</v>
      </c>
      <c r="E62" t="s">
        <v>42</v>
      </c>
    </row>
    <row r="63" spans="2:7" x14ac:dyDescent="0.25">
      <c r="B63" s="5" t="s">
        <v>36</v>
      </c>
      <c r="C63" s="7">
        <v>231</v>
      </c>
      <c r="D63" s="7">
        <v>307</v>
      </c>
      <c r="E63" s="7">
        <v>538</v>
      </c>
      <c r="G63" t="s">
        <v>54</v>
      </c>
    </row>
    <row r="64" spans="2:7" x14ac:dyDescent="0.25">
      <c r="B64" s="5" t="s">
        <v>37</v>
      </c>
      <c r="C64" s="7">
        <v>250</v>
      </c>
      <c r="D64" s="7">
        <v>212</v>
      </c>
      <c r="E64" s="7">
        <v>462</v>
      </c>
    </row>
    <row r="65" spans="2:7" x14ac:dyDescent="0.25">
      <c r="B65" s="5" t="s">
        <v>42</v>
      </c>
      <c r="C65" s="7">
        <v>481</v>
      </c>
      <c r="D65" s="7">
        <v>519</v>
      </c>
      <c r="E65" s="7">
        <v>1000</v>
      </c>
    </row>
    <row r="78" spans="2:7" x14ac:dyDescent="0.25">
      <c r="B78" s="4" t="s">
        <v>45</v>
      </c>
      <c r="C78" s="4" t="s">
        <v>43</v>
      </c>
    </row>
    <row r="79" spans="2:7" x14ac:dyDescent="0.25">
      <c r="B79" s="4" t="s">
        <v>41</v>
      </c>
      <c r="C79" t="s">
        <v>18</v>
      </c>
      <c r="D79" t="s">
        <v>15</v>
      </c>
      <c r="E79" t="s">
        <v>42</v>
      </c>
    </row>
    <row r="80" spans="2:7" x14ac:dyDescent="0.25">
      <c r="B80" s="5" t="s">
        <v>20</v>
      </c>
      <c r="C80" s="7">
        <v>89</v>
      </c>
      <c r="D80" s="7">
        <v>88</v>
      </c>
      <c r="E80" s="7">
        <v>177</v>
      </c>
      <c r="G80" t="s">
        <v>55</v>
      </c>
    </row>
    <row r="81" spans="2:5" x14ac:dyDescent="0.25">
      <c r="B81" s="5" t="s">
        <v>28</v>
      </c>
      <c r="C81" s="7">
        <v>100</v>
      </c>
      <c r="D81" s="7">
        <v>73</v>
      </c>
      <c r="E81" s="7">
        <v>173</v>
      </c>
    </row>
    <row r="82" spans="2:5" x14ac:dyDescent="0.25">
      <c r="B82" s="5" t="s">
        <v>25</v>
      </c>
      <c r="C82" s="7">
        <v>64</v>
      </c>
      <c r="D82" s="7">
        <v>55</v>
      </c>
      <c r="E82" s="7">
        <v>119</v>
      </c>
    </row>
    <row r="83" spans="2:5" x14ac:dyDescent="0.25">
      <c r="B83" s="5" t="s">
        <v>21</v>
      </c>
      <c r="C83" s="7">
        <v>126</v>
      </c>
      <c r="D83" s="7">
        <v>150</v>
      </c>
      <c r="E83" s="7">
        <v>276</v>
      </c>
    </row>
    <row r="84" spans="2:5" x14ac:dyDescent="0.25">
      <c r="B84" s="5" t="s">
        <v>14</v>
      </c>
      <c r="C84" s="7">
        <v>140</v>
      </c>
      <c r="D84" s="7">
        <v>115</v>
      </c>
      <c r="E84" s="7">
        <v>255</v>
      </c>
    </row>
    <row r="85" spans="2:5" x14ac:dyDescent="0.25">
      <c r="B85" s="5" t="s">
        <v>42</v>
      </c>
      <c r="C85" s="7">
        <v>519</v>
      </c>
      <c r="D85" s="7">
        <v>481</v>
      </c>
      <c r="E85" s="7">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3362F-D32B-4231-99D4-61C48123F95B}">
  <dimension ref="A1:V57"/>
  <sheetViews>
    <sheetView showGridLines="0" zoomScale="85" zoomScaleNormal="85" workbookViewId="0">
      <selection activeCell="B2" sqref="B2"/>
    </sheetView>
  </sheetViews>
  <sheetFormatPr defaultRowHeight="15" x14ac:dyDescent="0.25"/>
  <sheetData>
    <row r="1" spans="1:22" x14ac:dyDescent="0.25">
      <c r="A1" s="6"/>
      <c r="B1" s="6"/>
      <c r="C1" s="6"/>
      <c r="D1" s="6"/>
      <c r="E1" s="6"/>
      <c r="F1" s="6"/>
      <c r="G1" s="6"/>
      <c r="H1" s="6"/>
      <c r="I1" s="6"/>
      <c r="J1" s="6"/>
      <c r="K1" s="6"/>
      <c r="L1" s="6"/>
      <c r="M1" s="6"/>
      <c r="N1" s="6"/>
      <c r="O1" s="6"/>
      <c r="P1" s="6"/>
      <c r="Q1" s="6"/>
      <c r="R1" s="6"/>
      <c r="S1" s="6"/>
      <c r="T1" s="6"/>
      <c r="U1" s="6"/>
      <c r="V1" s="6"/>
    </row>
    <row r="2" spans="1:22" x14ac:dyDescent="0.25">
      <c r="A2" s="6"/>
      <c r="B2" s="6"/>
      <c r="C2" s="6"/>
      <c r="D2" s="6"/>
      <c r="E2" s="6"/>
      <c r="F2" s="6"/>
      <c r="G2" s="6"/>
      <c r="H2" s="6"/>
      <c r="I2" s="6"/>
      <c r="J2" s="6"/>
      <c r="K2" s="6"/>
      <c r="L2" s="6"/>
      <c r="M2" s="6"/>
      <c r="N2" s="6"/>
      <c r="O2" s="6"/>
      <c r="P2" s="6"/>
      <c r="Q2" s="6"/>
      <c r="R2" s="6"/>
      <c r="S2" s="6"/>
      <c r="T2" s="6"/>
      <c r="U2" s="6"/>
      <c r="V2" s="6"/>
    </row>
    <row r="3" spans="1:22" x14ac:dyDescent="0.25">
      <c r="A3" s="6"/>
      <c r="B3" s="6"/>
      <c r="C3" s="6"/>
      <c r="D3" s="6"/>
      <c r="E3" s="6"/>
      <c r="F3" s="6"/>
      <c r="G3" s="6"/>
      <c r="H3" s="6"/>
      <c r="I3" s="6"/>
      <c r="J3" s="6"/>
      <c r="K3" s="6"/>
      <c r="L3" s="6"/>
      <c r="M3" s="6"/>
      <c r="N3" s="6"/>
      <c r="O3" s="6"/>
      <c r="P3" s="6"/>
      <c r="Q3" s="6"/>
      <c r="R3" s="6"/>
      <c r="S3" s="6"/>
      <c r="T3" s="6"/>
      <c r="U3" s="6"/>
      <c r="V3" s="6"/>
    </row>
    <row r="4" spans="1:22" x14ac:dyDescent="0.25">
      <c r="A4" s="6"/>
      <c r="B4" s="6"/>
      <c r="C4" s="6"/>
      <c r="D4" s="6"/>
      <c r="E4" s="6"/>
      <c r="F4" s="6"/>
      <c r="G4" s="6"/>
      <c r="H4" s="6"/>
      <c r="I4" s="6"/>
      <c r="J4" s="6"/>
      <c r="K4" s="6"/>
      <c r="L4" s="6"/>
      <c r="M4" s="6"/>
      <c r="N4" s="6"/>
      <c r="O4" s="6"/>
      <c r="P4" s="6"/>
      <c r="Q4" s="6"/>
      <c r="R4" s="6"/>
      <c r="S4" s="6"/>
      <c r="T4" s="6"/>
      <c r="U4" s="6"/>
      <c r="V4" s="6"/>
    </row>
    <row r="5" spans="1:22" x14ac:dyDescent="0.25">
      <c r="A5" s="6"/>
      <c r="B5" s="6"/>
      <c r="C5" s="6"/>
      <c r="D5" s="6"/>
      <c r="E5" s="6"/>
      <c r="F5" s="6"/>
      <c r="G5" s="6"/>
      <c r="H5" s="6"/>
      <c r="I5" s="6"/>
      <c r="J5" s="6"/>
      <c r="K5" s="6"/>
      <c r="L5" s="6"/>
      <c r="M5" s="6"/>
      <c r="N5" s="6"/>
      <c r="O5" s="6"/>
      <c r="P5" s="6"/>
      <c r="Q5" s="6"/>
      <c r="R5" s="6"/>
      <c r="S5" s="6"/>
      <c r="T5" s="6"/>
      <c r="U5" s="6"/>
      <c r="V5" s="6"/>
    </row>
    <row r="6" spans="1:22" x14ac:dyDescent="0.25">
      <c r="A6" s="6"/>
      <c r="B6" s="6"/>
      <c r="C6" s="6"/>
      <c r="D6" s="6"/>
      <c r="E6" s="6"/>
      <c r="F6" s="6"/>
      <c r="G6" s="6"/>
      <c r="H6" s="6"/>
      <c r="I6" s="6"/>
      <c r="J6" s="6"/>
      <c r="K6" s="6"/>
      <c r="L6" s="6"/>
      <c r="M6" s="6"/>
      <c r="N6" s="6"/>
      <c r="O6" s="6"/>
      <c r="P6" s="6"/>
      <c r="Q6" s="6"/>
      <c r="R6" s="6"/>
      <c r="S6" s="6"/>
      <c r="T6" s="6"/>
      <c r="U6" s="6"/>
      <c r="V6" s="6"/>
    </row>
    <row r="7" spans="1:22" x14ac:dyDescent="0.25">
      <c r="A7" s="6"/>
      <c r="B7" s="6"/>
      <c r="C7" s="6"/>
      <c r="D7" s="6"/>
      <c r="E7" s="6"/>
      <c r="F7" s="6"/>
      <c r="G7" s="6"/>
      <c r="H7" s="6"/>
      <c r="I7" s="6"/>
      <c r="J7" s="6"/>
      <c r="K7" s="6"/>
      <c r="L7" s="6"/>
      <c r="M7" s="6"/>
      <c r="N7" s="6"/>
      <c r="O7" s="6"/>
      <c r="P7" s="6"/>
      <c r="Q7" s="6"/>
      <c r="R7" s="6"/>
      <c r="S7" s="6"/>
      <c r="T7" s="6"/>
      <c r="U7" s="6"/>
      <c r="V7" s="6"/>
    </row>
    <row r="8" spans="1:22" x14ac:dyDescent="0.25">
      <c r="A8" s="6"/>
      <c r="B8" s="6"/>
      <c r="C8" s="6"/>
      <c r="D8" s="6"/>
      <c r="E8" s="6"/>
      <c r="F8" s="6"/>
      <c r="G8" s="6"/>
      <c r="H8" s="6"/>
      <c r="I8" s="6"/>
      <c r="J8" s="6"/>
      <c r="K8" s="6"/>
      <c r="L8" s="6"/>
      <c r="M8" s="6"/>
      <c r="N8" s="6"/>
      <c r="O8" s="6"/>
      <c r="P8" s="6"/>
      <c r="Q8" s="6"/>
      <c r="R8" s="6"/>
      <c r="S8" s="6"/>
      <c r="T8" s="6"/>
      <c r="U8" s="6"/>
      <c r="V8" s="6"/>
    </row>
    <row r="9" spans="1:22" x14ac:dyDescent="0.25">
      <c r="A9" s="6"/>
      <c r="B9" s="6"/>
      <c r="C9" s="6"/>
      <c r="D9" s="6"/>
      <c r="E9" s="6"/>
      <c r="F9" s="6"/>
      <c r="G9" s="6"/>
      <c r="H9" s="6"/>
      <c r="I9" s="6"/>
      <c r="J9" s="6"/>
      <c r="K9" s="6"/>
      <c r="L9" s="6"/>
      <c r="M9" s="6"/>
      <c r="N9" s="6"/>
      <c r="O9" s="6"/>
      <c r="P9" s="6"/>
      <c r="Q9" s="6"/>
      <c r="R9" s="6"/>
      <c r="S9" s="6"/>
      <c r="T9" s="6"/>
      <c r="U9" s="6"/>
      <c r="V9" s="6"/>
    </row>
    <row r="10" spans="1:22" x14ac:dyDescent="0.25">
      <c r="A10" s="6"/>
      <c r="B10" s="6"/>
      <c r="C10" s="6"/>
      <c r="D10" s="6"/>
      <c r="E10" s="6"/>
      <c r="F10" s="6"/>
      <c r="G10" s="6"/>
      <c r="H10" s="6"/>
      <c r="I10" s="6"/>
      <c r="J10" s="6"/>
      <c r="K10" s="6"/>
      <c r="L10" s="6"/>
      <c r="M10" s="6"/>
      <c r="N10" s="6"/>
      <c r="O10" s="6"/>
      <c r="P10" s="6"/>
      <c r="Q10" s="6"/>
      <c r="R10" s="6"/>
      <c r="S10" s="6"/>
      <c r="T10" s="6"/>
      <c r="U10" s="6"/>
      <c r="V10" s="6"/>
    </row>
    <row r="11" spans="1:22" x14ac:dyDescent="0.25">
      <c r="A11" s="6"/>
      <c r="B11" s="6"/>
      <c r="C11" s="6"/>
      <c r="D11" s="6"/>
      <c r="E11" s="6"/>
      <c r="F11" s="6"/>
      <c r="G11" s="6"/>
      <c r="H11" s="6"/>
      <c r="I11" s="6"/>
      <c r="J11" s="6"/>
      <c r="K11" s="6"/>
      <c r="L11" s="6"/>
      <c r="M11" s="6"/>
      <c r="N11" s="6"/>
      <c r="O11" s="6"/>
      <c r="P11" s="6"/>
      <c r="Q11" s="6"/>
      <c r="R11" s="6"/>
      <c r="S11" s="6"/>
      <c r="T11" s="6"/>
      <c r="U11" s="6"/>
      <c r="V11" s="6"/>
    </row>
    <row r="12" spans="1:22" x14ac:dyDescent="0.25">
      <c r="A12" s="6"/>
      <c r="B12" s="6"/>
      <c r="C12" s="6"/>
      <c r="D12" s="6"/>
      <c r="E12" s="6"/>
      <c r="F12" s="6"/>
      <c r="G12" s="6"/>
      <c r="H12" s="6"/>
      <c r="I12" s="6"/>
      <c r="J12" s="6"/>
      <c r="K12" s="6"/>
      <c r="L12" s="6"/>
      <c r="M12" s="6"/>
      <c r="N12" s="6"/>
      <c r="O12" s="6"/>
      <c r="P12" s="6"/>
      <c r="Q12" s="6"/>
      <c r="R12" s="6"/>
      <c r="S12" s="6"/>
      <c r="T12" s="6"/>
      <c r="U12" s="6"/>
      <c r="V12" s="6"/>
    </row>
    <row r="13" spans="1:22" x14ac:dyDescent="0.25">
      <c r="A13" s="6"/>
      <c r="B13" s="6"/>
      <c r="C13" s="6"/>
      <c r="D13" s="6"/>
      <c r="E13" s="6"/>
      <c r="F13" s="6"/>
      <c r="G13" s="6"/>
      <c r="H13" s="6"/>
      <c r="I13" s="6"/>
      <c r="J13" s="6"/>
      <c r="K13" s="6"/>
      <c r="L13" s="6"/>
      <c r="M13" s="6"/>
      <c r="N13" s="6"/>
      <c r="O13" s="6"/>
      <c r="P13" s="6"/>
      <c r="Q13" s="6"/>
      <c r="R13" s="6"/>
      <c r="S13" s="6"/>
      <c r="T13" s="6"/>
      <c r="U13" s="6"/>
      <c r="V13" s="6"/>
    </row>
    <row r="14" spans="1:22" x14ac:dyDescent="0.25">
      <c r="A14" s="6"/>
      <c r="B14" s="6"/>
      <c r="C14" s="6"/>
      <c r="D14" s="6"/>
      <c r="E14" s="6"/>
      <c r="F14" s="6"/>
      <c r="G14" s="6"/>
      <c r="H14" s="6"/>
      <c r="I14" s="6"/>
      <c r="J14" s="6"/>
      <c r="K14" s="6"/>
      <c r="L14" s="6"/>
      <c r="M14" s="6"/>
      <c r="N14" s="6"/>
      <c r="O14" s="6"/>
      <c r="P14" s="6"/>
      <c r="Q14" s="6"/>
      <c r="R14" s="6"/>
      <c r="S14" s="6"/>
      <c r="T14" s="6"/>
      <c r="U14" s="6"/>
      <c r="V14" s="6"/>
    </row>
    <row r="15" spans="1:22" x14ac:dyDescent="0.25">
      <c r="A15" s="6"/>
      <c r="B15" s="6"/>
      <c r="C15" s="6"/>
      <c r="D15" s="6"/>
      <c r="E15" s="6"/>
      <c r="F15" s="6"/>
      <c r="G15" s="6"/>
      <c r="H15" s="6"/>
      <c r="I15" s="6"/>
      <c r="J15" s="6"/>
      <c r="K15" s="6"/>
      <c r="L15" s="6"/>
      <c r="M15" s="6"/>
      <c r="N15" s="6"/>
      <c r="O15" s="6"/>
      <c r="P15" s="6"/>
      <c r="Q15" s="6"/>
      <c r="R15" s="6"/>
      <c r="S15" s="6"/>
      <c r="T15" s="6"/>
      <c r="U15" s="6"/>
      <c r="V15" s="6"/>
    </row>
    <row r="16" spans="1:22" x14ac:dyDescent="0.25">
      <c r="A16" s="6"/>
      <c r="B16" s="6"/>
      <c r="C16" s="6"/>
      <c r="D16" s="6"/>
      <c r="E16" s="6"/>
      <c r="F16" s="6"/>
      <c r="G16" s="6"/>
      <c r="H16" s="6"/>
      <c r="I16" s="6"/>
      <c r="J16" s="6"/>
      <c r="K16" s="6"/>
      <c r="L16" s="6"/>
      <c r="M16" s="6"/>
      <c r="N16" s="6"/>
      <c r="O16" s="6"/>
      <c r="P16" s="6"/>
      <c r="Q16" s="6"/>
      <c r="R16" s="6"/>
      <c r="S16" s="6"/>
      <c r="T16" s="6"/>
      <c r="U16" s="6"/>
      <c r="V16" s="6"/>
    </row>
    <row r="17" spans="1:22" x14ac:dyDescent="0.25">
      <c r="A17" s="6"/>
      <c r="B17" s="6"/>
      <c r="C17" s="6"/>
      <c r="D17" s="6"/>
      <c r="E17" s="6"/>
      <c r="F17" s="6"/>
      <c r="G17" s="6"/>
      <c r="H17" s="6"/>
      <c r="I17" s="6"/>
      <c r="J17" s="6"/>
      <c r="K17" s="6"/>
      <c r="L17" s="6"/>
      <c r="M17" s="6"/>
      <c r="N17" s="6"/>
      <c r="O17" s="6"/>
      <c r="P17" s="6"/>
      <c r="Q17" s="6"/>
      <c r="R17" s="6"/>
      <c r="S17" s="6"/>
      <c r="T17" s="6"/>
      <c r="U17" s="6"/>
      <c r="V17" s="6"/>
    </row>
    <row r="18" spans="1:22" x14ac:dyDescent="0.25">
      <c r="A18" s="6"/>
      <c r="B18" s="6"/>
      <c r="C18" s="6"/>
      <c r="D18" s="6"/>
      <c r="E18" s="6"/>
      <c r="F18" s="6"/>
      <c r="G18" s="6"/>
      <c r="H18" s="6"/>
      <c r="I18" s="6"/>
      <c r="J18" s="6"/>
      <c r="K18" s="6"/>
      <c r="L18" s="6"/>
      <c r="M18" s="6"/>
      <c r="N18" s="6"/>
      <c r="O18" s="6"/>
      <c r="P18" s="6"/>
      <c r="Q18" s="6"/>
      <c r="R18" s="6"/>
      <c r="S18" s="6"/>
      <c r="T18" s="6"/>
      <c r="U18" s="6"/>
      <c r="V18" s="6"/>
    </row>
    <row r="19" spans="1:22" x14ac:dyDescent="0.25">
      <c r="A19" s="6"/>
      <c r="B19" s="6"/>
      <c r="C19" s="6"/>
      <c r="D19" s="6"/>
      <c r="E19" s="6"/>
      <c r="F19" s="6"/>
      <c r="G19" s="6"/>
      <c r="H19" s="6"/>
      <c r="I19" s="6"/>
      <c r="J19" s="6"/>
      <c r="K19" s="6"/>
      <c r="L19" s="6"/>
      <c r="M19" s="6"/>
      <c r="N19" s="6"/>
      <c r="O19" s="6"/>
      <c r="P19" s="6"/>
      <c r="Q19" s="6"/>
      <c r="R19" s="6"/>
      <c r="S19" s="6"/>
      <c r="T19" s="6"/>
      <c r="U19" s="6"/>
      <c r="V19" s="6"/>
    </row>
    <row r="20" spans="1:22" x14ac:dyDescent="0.25">
      <c r="A20" s="6"/>
      <c r="B20" s="6"/>
      <c r="C20" s="6"/>
      <c r="D20" s="6"/>
      <c r="E20" s="6"/>
      <c r="F20" s="6"/>
      <c r="G20" s="6"/>
      <c r="H20" s="6"/>
      <c r="I20" s="6"/>
      <c r="J20" s="6"/>
      <c r="K20" s="6"/>
      <c r="L20" s="6"/>
      <c r="M20" s="6"/>
      <c r="N20" s="6"/>
      <c r="O20" s="6"/>
      <c r="P20" s="6"/>
      <c r="Q20" s="6"/>
      <c r="R20" s="6"/>
      <c r="S20" s="6"/>
      <c r="T20" s="6"/>
      <c r="U20" s="6"/>
      <c r="V20" s="6"/>
    </row>
    <row r="21" spans="1:22" x14ac:dyDescent="0.25">
      <c r="A21" s="6"/>
      <c r="B21" s="6"/>
      <c r="C21" s="6"/>
      <c r="D21" s="6"/>
      <c r="E21" s="6"/>
      <c r="F21" s="6"/>
      <c r="G21" s="6"/>
      <c r="H21" s="6"/>
      <c r="I21" s="6"/>
      <c r="J21" s="6"/>
      <c r="K21" s="6"/>
      <c r="L21" s="6"/>
      <c r="M21" s="6"/>
      <c r="N21" s="6"/>
      <c r="O21" s="6"/>
      <c r="P21" s="6"/>
      <c r="Q21" s="6"/>
      <c r="R21" s="6"/>
      <c r="S21" s="6"/>
      <c r="T21" s="6"/>
      <c r="U21" s="6"/>
      <c r="V21" s="6"/>
    </row>
    <row r="22" spans="1:22" x14ac:dyDescent="0.25">
      <c r="A22" s="6"/>
      <c r="B22" s="6"/>
      <c r="C22" s="6"/>
      <c r="D22" s="6"/>
      <c r="E22" s="6"/>
      <c r="F22" s="6"/>
      <c r="G22" s="6"/>
      <c r="H22" s="6"/>
      <c r="I22" s="6"/>
      <c r="J22" s="6"/>
      <c r="K22" s="6"/>
      <c r="L22" s="6"/>
      <c r="M22" s="6"/>
      <c r="N22" s="6"/>
      <c r="O22" s="6"/>
      <c r="P22" s="6"/>
      <c r="Q22" s="6"/>
      <c r="R22" s="6"/>
      <c r="S22" s="6"/>
      <c r="T22" s="6"/>
      <c r="U22" s="6"/>
      <c r="V22" s="6"/>
    </row>
    <row r="23" spans="1:22" x14ac:dyDescent="0.25">
      <c r="A23" s="6"/>
      <c r="B23" s="6"/>
      <c r="C23" s="6"/>
      <c r="D23" s="6"/>
      <c r="E23" s="6"/>
      <c r="F23" s="6"/>
      <c r="G23" s="6"/>
      <c r="H23" s="6"/>
      <c r="I23" s="6"/>
      <c r="J23" s="6"/>
      <c r="K23" s="6"/>
      <c r="L23" s="6"/>
      <c r="M23" s="6"/>
      <c r="N23" s="6"/>
      <c r="O23" s="6"/>
      <c r="P23" s="6"/>
      <c r="Q23" s="6"/>
      <c r="R23" s="6"/>
      <c r="S23" s="6"/>
      <c r="T23" s="6"/>
      <c r="U23" s="6"/>
      <c r="V23" s="6"/>
    </row>
    <row r="24" spans="1:22" x14ac:dyDescent="0.25">
      <c r="A24" s="6"/>
      <c r="B24" s="6"/>
      <c r="C24" s="6"/>
      <c r="D24" s="6"/>
      <c r="E24" s="6"/>
      <c r="F24" s="6"/>
      <c r="G24" s="6"/>
      <c r="H24" s="6"/>
      <c r="I24" s="6"/>
      <c r="J24" s="6"/>
      <c r="K24" s="6"/>
      <c r="L24" s="6"/>
      <c r="M24" s="6"/>
      <c r="N24" s="6"/>
      <c r="O24" s="6"/>
      <c r="P24" s="6"/>
      <c r="Q24" s="6"/>
      <c r="R24" s="6"/>
      <c r="S24" s="6"/>
      <c r="T24" s="6"/>
      <c r="U24" s="6"/>
      <c r="V24" s="6"/>
    </row>
    <row r="25" spans="1:22" x14ac:dyDescent="0.25">
      <c r="A25" s="6"/>
      <c r="B25" s="6"/>
      <c r="C25" s="6"/>
      <c r="D25" s="6"/>
      <c r="E25" s="6"/>
      <c r="F25" s="6"/>
      <c r="G25" s="6"/>
      <c r="H25" s="6"/>
      <c r="I25" s="6"/>
      <c r="J25" s="6"/>
      <c r="K25" s="6"/>
      <c r="L25" s="6"/>
      <c r="M25" s="6"/>
      <c r="N25" s="6"/>
      <c r="O25" s="6"/>
      <c r="P25" s="6"/>
      <c r="Q25" s="6"/>
      <c r="R25" s="6"/>
      <c r="S25" s="6"/>
      <c r="T25" s="6"/>
      <c r="U25" s="6"/>
      <c r="V25" s="6"/>
    </row>
    <row r="26" spans="1:22" x14ac:dyDescent="0.25">
      <c r="A26" s="6"/>
      <c r="B26" s="6"/>
      <c r="C26" s="6"/>
      <c r="D26" s="6"/>
      <c r="E26" s="6"/>
      <c r="F26" s="6"/>
      <c r="G26" s="6"/>
      <c r="H26" s="6"/>
      <c r="I26" s="6"/>
      <c r="J26" s="6"/>
      <c r="K26" s="6"/>
      <c r="L26" s="6"/>
      <c r="M26" s="6"/>
      <c r="N26" s="6"/>
      <c r="O26" s="6"/>
      <c r="P26" s="6"/>
      <c r="Q26" s="6"/>
      <c r="R26" s="6"/>
      <c r="S26" s="6"/>
      <c r="T26" s="6"/>
      <c r="U26" s="6"/>
      <c r="V26" s="6"/>
    </row>
    <row r="27" spans="1:22" x14ac:dyDescent="0.25">
      <c r="A27" s="6"/>
      <c r="B27" s="6"/>
      <c r="C27" s="6"/>
      <c r="D27" s="6"/>
      <c r="E27" s="6"/>
      <c r="F27" s="6"/>
      <c r="G27" s="6"/>
      <c r="H27" s="6"/>
      <c r="I27" s="6"/>
      <c r="J27" s="6"/>
      <c r="K27" s="6"/>
      <c r="L27" s="6"/>
      <c r="M27" s="6"/>
      <c r="N27" s="6"/>
      <c r="O27" s="6"/>
      <c r="P27" s="6"/>
      <c r="Q27" s="6"/>
      <c r="R27" s="6"/>
      <c r="S27" s="6"/>
      <c r="T27" s="6"/>
      <c r="U27" s="6"/>
      <c r="V27" s="6"/>
    </row>
    <row r="28" spans="1:22" x14ac:dyDescent="0.25">
      <c r="A28" s="6"/>
      <c r="B28" s="6"/>
      <c r="C28" s="6"/>
      <c r="D28" s="6"/>
      <c r="E28" s="6"/>
      <c r="F28" s="6"/>
      <c r="G28" s="6"/>
      <c r="H28" s="6"/>
      <c r="I28" s="6"/>
      <c r="J28" s="6"/>
      <c r="K28" s="6"/>
      <c r="L28" s="6"/>
      <c r="M28" s="6"/>
      <c r="N28" s="6"/>
      <c r="O28" s="6"/>
      <c r="P28" s="6"/>
      <c r="Q28" s="6"/>
      <c r="R28" s="6"/>
      <c r="S28" s="6"/>
      <c r="T28" s="6"/>
      <c r="U28" s="6"/>
      <c r="V28" s="6"/>
    </row>
    <row r="29" spans="1:22" x14ac:dyDescent="0.25">
      <c r="A29" s="6"/>
      <c r="B29" s="6"/>
      <c r="C29" s="6"/>
      <c r="D29" s="6"/>
      <c r="E29" s="6"/>
      <c r="F29" s="6"/>
      <c r="G29" s="6"/>
      <c r="H29" s="6"/>
      <c r="I29" s="6"/>
      <c r="J29" s="6"/>
      <c r="K29" s="6"/>
      <c r="L29" s="6"/>
      <c r="M29" s="6"/>
      <c r="N29" s="6"/>
      <c r="O29" s="6"/>
      <c r="P29" s="6"/>
      <c r="Q29" s="6"/>
      <c r="R29" s="6"/>
      <c r="S29" s="6"/>
      <c r="T29" s="6"/>
      <c r="U29" s="6"/>
      <c r="V29" s="6"/>
    </row>
    <row r="30" spans="1:22" x14ac:dyDescent="0.25">
      <c r="A30" s="6"/>
      <c r="B30" s="6"/>
      <c r="C30" s="6"/>
      <c r="D30" s="6"/>
      <c r="E30" s="6"/>
      <c r="F30" s="6"/>
      <c r="G30" s="6"/>
      <c r="H30" s="6"/>
      <c r="I30" s="6"/>
      <c r="J30" s="6"/>
      <c r="K30" s="6"/>
      <c r="L30" s="6"/>
      <c r="M30" s="6"/>
      <c r="N30" s="6"/>
      <c r="O30" s="6"/>
      <c r="P30" s="6"/>
      <c r="Q30" s="6"/>
      <c r="R30" s="6"/>
      <c r="S30" s="6"/>
      <c r="T30" s="6"/>
      <c r="U30" s="6"/>
      <c r="V30" s="6"/>
    </row>
    <row r="31" spans="1:22" x14ac:dyDescent="0.25">
      <c r="A31" s="6"/>
      <c r="B31" s="6"/>
      <c r="C31" s="6"/>
      <c r="D31" s="6"/>
      <c r="E31" s="6"/>
      <c r="F31" s="6"/>
      <c r="G31" s="6"/>
      <c r="H31" s="6"/>
      <c r="I31" s="6"/>
      <c r="J31" s="6"/>
      <c r="K31" s="6"/>
      <c r="L31" s="6"/>
      <c r="M31" s="6"/>
      <c r="N31" s="6"/>
      <c r="O31" s="6"/>
      <c r="P31" s="6"/>
      <c r="Q31" s="6"/>
      <c r="R31" s="6"/>
      <c r="S31" s="6"/>
      <c r="T31" s="6"/>
      <c r="U31" s="6"/>
      <c r="V31" s="6"/>
    </row>
    <row r="32" spans="1:22" x14ac:dyDescent="0.25">
      <c r="A32" s="6"/>
      <c r="B32" s="6"/>
      <c r="C32" s="6"/>
      <c r="D32" s="6"/>
      <c r="E32" s="6"/>
      <c r="F32" s="6"/>
      <c r="G32" s="6"/>
      <c r="H32" s="6"/>
      <c r="I32" s="6"/>
      <c r="J32" s="6"/>
      <c r="K32" s="6"/>
      <c r="L32" s="6"/>
      <c r="M32" s="6"/>
      <c r="N32" s="6"/>
      <c r="O32" s="6"/>
      <c r="P32" s="6"/>
      <c r="Q32" s="6"/>
      <c r="R32" s="6"/>
      <c r="S32" s="6"/>
      <c r="T32" s="6"/>
      <c r="U32" s="6"/>
      <c r="V32" s="6"/>
    </row>
    <row r="33" spans="1:22" x14ac:dyDescent="0.25">
      <c r="A33" s="6"/>
      <c r="B33" s="6"/>
      <c r="C33" s="6"/>
      <c r="D33" s="6"/>
      <c r="E33" s="6"/>
      <c r="F33" s="6"/>
      <c r="G33" s="6"/>
      <c r="H33" s="6"/>
      <c r="I33" s="6"/>
      <c r="J33" s="6"/>
      <c r="K33" s="6"/>
      <c r="L33" s="6"/>
      <c r="M33" s="6"/>
      <c r="N33" s="6"/>
      <c r="O33" s="6"/>
      <c r="P33" s="6"/>
      <c r="Q33" s="6"/>
      <c r="R33" s="6"/>
      <c r="S33" s="6"/>
      <c r="T33" s="6"/>
      <c r="U33" s="6"/>
      <c r="V33" s="6"/>
    </row>
    <row r="34" spans="1:22" x14ac:dyDescent="0.25">
      <c r="A34" s="6"/>
      <c r="B34" s="6"/>
      <c r="C34" s="6"/>
      <c r="D34" s="6"/>
      <c r="E34" s="6"/>
      <c r="F34" s="6"/>
      <c r="G34" s="6"/>
      <c r="H34" s="6"/>
      <c r="I34" s="6"/>
      <c r="J34" s="6"/>
      <c r="K34" s="6"/>
      <c r="L34" s="6"/>
      <c r="M34" s="6"/>
      <c r="N34" s="6"/>
      <c r="O34" s="6"/>
      <c r="P34" s="6"/>
      <c r="Q34" s="6"/>
      <c r="R34" s="6"/>
      <c r="S34" s="6"/>
      <c r="T34" s="6"/>
      <c r="U34" s="6"/>
      <c r="V34" s="6"/>
    </row>
    <row r="35" spans="1:22" x14ac:dyDescent="0.25">
      <c r="A35" s="6"/>
      <c r="B35" s="6"/>
      <c r="C35" s="6"/>
      <c r="D35" s="6"/>
      <c r="E35" s="6"/>
      <c r="F35" s="6"/>
      <c r="G35" s="6"/>
      <c r="H35" s="6"/>
      <c r="I35" s="6"/>
      <c r="J35" s="6"/>
      <c r="K35" s="6"/>
      <c r="L35" s="6"/>
      <c r="M35" s="6"/>
      <c r="N35" s="6"/>
      <c r="O35" s="6"/>
      <c r="P35" s="6"/>
      <c r="Q35" s="6"/>
      <c r="R35" s="6"/>
      <c r="S35" s="6"/>
      <c r="T35" s="6"/>
      <c r="U35" s="6"/>
      <c r="V35" s="6"/>
    </row>
    <row r="36" spans="1:22" x14ac:dyDescent="0.25">
      <c r="A36" s="6"/>
      <c r="B36" s="6"/>
      <c r="C36" s="6"/>
      <c r="D36" s="6"/>
      <c r="E36" s="6"/>
      <c r="F36" s="6"/>
      <c r="G36" s="6"/>
      <c r="H36" s="6"/>
      <c r="I36" s="6"/>
      <c r="J36" s="6"/>
      <c r="K36" s="6"/>
      <c r="L36" s="6"/>
      <c r="M36" s="6"/>
      <c r="N36" s="6"/>
      <c r="O36" s="6"/>
      <c r="P36" s="6"/>
      <c r="Q36" s="6"/>
      <c r="R36" s="6"/>
      <c r="S36" s="6"/>
      <c r="T36" s="6"/>
      <c r="U36" s="6"/>
      <c r="V36" s="6"/>
    </row>
    <row r="37" spans="1:22" x14ac:dyDescent="0.25">
      <c r="A37" s="6"/>
      <c r="B37" s="6"/>
      <c r="C37" s="6"/>
      <c r="D37" s="6"/>
      <c r="E37" s="6"/>
      <c r="F37" s="6"/>
      <c r="G37" s="6"/>
      <c r="H37" s="6"/>
      <c r="I37" s="6"/>
      <c r="J37" s="6"/>
      <c r="K37" s="6"/>
      <c r="L37" s="6"/>
      <c r="M37" s="6"/>
      <c r="N37" s="6"/>
      <c r="O37" s="6"/>
      <c r="P37" s="6"/>
      <c r="Q37" s="6"/>
      <c r="R37" s="6"/>
      <c r="S37" s="6"/>
      <c r="T37" s="6"/>
      <c r="U37" s="6"/>
      <c r="V37" s="6"/>
    </row>
    <row r="38" spans="1:22" x14ac:dyDescent="0.25">
      <c r="A38" s="6"/>
      <c r="B38" s="6"/>
      <c r="C38" s="6"/>
      <c r="D38" s="6"/>
      <c r="E38" s="6"/>
      <c r="F38" s="6"/>
      <c r="G38" s="6"/>
      <c r="H38" s="6"/>
      <c r="I38" s="6"/>
      <c r="J38" s="6"/>
      <c r="K38" s="6"/>
      <c r="L38" s="6"/>
      <c r="M38" s="6"/>
      <c r="N38" s="6"/>
      <c r="O38" s="6"/>
      <c r="P38" s="6"/>
      <c r="Q38" s="6"/>
      <c r="R38" s="6"/>
      <c r="S38" s="6"/>
      <c r="T38" s="6"/>
      <c r="U38" s="6"/>
      <c r="V38" s="6"/>
    </row>
    <row r="39" spans="1:22" x14ac:dyDescent="0.25">
      <c r="A39" s="6"/>
      <c r="B39" s="6"/>
      <c r="C39" s="6"/>
      <c r="D39" s="6"/>
      <c r="E39" s="6"/>
      <c r="F39" s="6"/>
      <c r="G39" s="6"/>
      <c r="H39" s="6"/>
      <c r="I39" s="6"/>
      <c r="J39" s="6"/>
      <c r="K39" s="6"/>
      <c r="L39" s="6"/>
      <c r="M39" s="6"/>
      <c r="N39" s="6"/>
      <c r="O39" s="6"/>
      <c r="P39" s="6"/>
      <c r="Q39" s="6"/>
      <c r="R39" s="6"/>
      <c r="S39" s="6"/>
      <c r="T39" s="6"/>
      <c r="U39" s="6"/>
      <c r="V39" s="6"/>
    </row>
    <row r="40" spans="1:22" x14ac:dyDescent="0.25">
      <c r="A40" s="6"/>
      <c r="B40" s="6"/>
      <c r="C40" s="6"/>
      <c r="D40" s="6"/>
      <c r="E40" s="6"/>
      <c r="F40" s="6"/>
      <c r="G40" s="6"/>
      <c r="H40" s="6"/>
      <c r="I40" s="6"/>
      <c r="J40" s="6"/>
      <c r="K40" s="6"/>
      <c r="L40" s="6"/>
      <c r="M40" s="6"/>
      <c r="N40" s="6"/>
      <c r="O40" s="6"/>
      <c r="P40" s="6"/>
      <c r="Q40" s="6"/>
      <c r="R40" s="6"/>
      <c r="S40" s="6"/>
      <c r="T40" s="6"/>
      <c r="U40" s="6"/>
      <c r="V40" s="6"/>
    </row>
    <row r="41" spans="1:22" x14ac:dyDescent="0.25">
      <c r="A41" s="6"/>
      <c r="B41" s="6"/>
      <c r="C41" s="6"/>
      <c r="D41" s="6"/>
      <c r="E41" s="6"/>
      <c r="F41" s="6"/>
      <c r="G41" s="6"/>
      <c r="H41" s="6"/>
      <c r="I41" s="6"/>
      <c r="J41" s="6"/>
      <c r="K41" s="6"/>
      <c r="L41" s="6"/>
      <c r="M41" s="6"/>
      <c r="N41" s="6"/>
      <c r="O41" s="6"/>
      <c r="P41" s="6"/>
      <c r="Q41" s="6"/>
      <c r="R41" s="6"/>
      <c r="S41" s="6"/>
      <c r="T41" s="6"/>
      <c r="U41" s="6"/>
      <c r="V41" s="6"/>
    </row>
    <row r="42" spans="1:22" x14ac:dyDescent="0.25">
      <c r="A42" s="6"/>
      <c r="B42" s="6"/>
      <c r="C42" s="6"/>
      <c r="D42" s="6"/>
      <c r="E42" s="6"/>
      <c r="F42" s="6"/>
      <c r="G42" s="6"/>
      <c r="H42" s="6"/>
      <c r="I42" s="6"/>
      <c r="J42" s="6"/>
      <c r="K42" s="6"/>
      <c r="L42" s="6"/>
      <c r="M42" s="6"/>
      <c r="N42" s="6"/>
      <c r="O42" s="6"/>
      <c r="P42" s="6"/>
      <c r="Q42" s="6"/>
      <c r="R42" s="6"/>
      <c r="S42" s="6"/>
      <c r="T42" s="6"/>
      <c r="U42" s="6"/>
      <c r="V42" s="6"/>
    </row>
    <row r="43" spans="1:22" x14ac:dyDescent="0.25">
      <c r="A43" s="6"/>
      <c r="B43" s="6"/>
      <c r="C43" s="6"/>
      <c r="D43" s="6"/>
      <c r="E43" s="6"/>
      <c r="F43" s="6"/>
      <c r="G43" s="6"/>
      <c r="H43" s="6"/>
      <c r="I43" s="6"/>
      <c r="J43" s="6"/>
      <c r="K43" s="6"/>
      <c r="L43" s="6"/>
      <c r="M43" s="6"/>
      <c r="N43" s="6"/>
      <c r="O43" s="6"/>
      <c r="P43" s="6"/>
      <c r="Q43" s="6"/>
      <c r="R43" s="6"/>
      <c r="S43" s="6"/>
      <c r="T43" s="6"/>
      <c r="U43" s="6"/>
      <c r="V43" s="6"/>
    </row>
    <row r="44" spans="1:22" x14ac:dyDescent="0.25">
      <c r="A44" s="6"/>
      <c r="B44" s="6"/>
      <c r="C44" s="6"/>
      <c r="D44" s="6"/>
      <c r="E44" s="6"/>
      <c r="F44" s="6"/>
      <c r="G44" s="6"/>
      <c r="H44" s="6"/>
      <c r="I44" s="6"/>
      <c r="J44" s="6"/>
      <c r="K44" s="6"/>
      <c r="L44" s="6"/>
      <c r="M44" s="6"/>
      <c r="N44" s="6"/>
      <c r="O44" s="6"/>
      <c r="P44" s="6"/>
      <c r="Q44" s="6"/>
      <c r="R44" s="6"/>
      <c r="S44" s="6"/>
      <c r="T44" s="6"/>
      <c r="U44" s="6"/>
      <c r="V44" s="6"/>
    </row>
    <row r="45" spans="1:22" x14ac:dyDescent="0.25">
      <c r="A45" s="6"/>
      <c r="B45" s="6"/>
      <c r="C45" s="6"/>
      <c r="D45" s="6"/>
      <c r="E45" s="6"/>
      <c r="F45" s="6"/>
      <c r="G45" s="6"/>
      <c r="H45" s="6"/>
      <c r="I45" s="6"/>
      <c r="J45" s="6"/>
      <c r="K45" s="6"/>
      <c r="L45" s="6"/>
      <c r="M45" s="6"/>
      <c r="N45" s="6"/>
      <c r="O45" s="6"/>
      <c r="P45" s="6"/>
      <c r="Q45" s="6"/>
      <c r="R45" s="6"/>
      <c r="S45" s="6"/>
      <c r="T45" s="6"/>
      <c r="U45" s="6"/>
      <c r="V45" s="6"/>
    </row>
    <row r="46" spans="1:22" x14ac:dyDescent="0.25">
      <c r="A46" s="6"/>
      <c r="B46" s="6"/>
      <c r="C46" s="6"/>
      <c r="D46" s="6"/>
      <c r="E46" s="6"/>
      <c r="F46" s="6"/>
      <c r="G46" s="6"/>
      <c r="H46" s="6"/>
      <c r="I46" s="6"/>
      <c r="J46" s="6"/>
      <c r="K46" s="6"/>
      <c r="L46" s="6"/>
      <c r="M46" s="6"/>
      <c r="N46" s="6"/>
      <c r="O46" s="6"/>
      <c r="P46" s="6"/>
      <c r="Q46" s="6"/>
      <c r="R46" s="6"/>
      <c r="S46" s="6"/>
      <c r="T46" s="6"/>
      <c r="U46" s="6"/>
      <c r="V46" s="6"/>
    </row>
    <row r="47" spans="1:22" x14ac:dyDescent="0.25">
      <c r="A47" s="6"/>
      <c r="B47" s="6"/>
      <c r="C47" s="6"/>
      <c r="D47" s="6"/>
      <c r="E47" s="6"/>
      <c r="F47" s="6"/>
      <c r="G47" s="6"/>
      <c r="H47" s="6"/>
      <c r="I47" s="6"/>
      <c r="J47" s="6"/>
      <c r="K47" s="6"/>
      <c r="L47" s="6"/>
      <c r="M47" s="6"/>
      <c r="N47" s="6"/>
      <c r="O47" s="6"/>
      <c r="P47" s="6"/>
      <c r="Q47" s="6"/>
      <c r="R47" s="6"/>
      <c r="S47" s="6"/>
      <c r="T47" s="6"/>
      <c r="U47" s="6"/>
      <c r="V47" s="6"/>
    </row>
    <row r="48" spans="1:22" x14ac:dyDescent="0.25">
      <c r="A48" s="6"/>
      <c r="B48" s="6"/>
      <c r="C48" s="6"/>
      <c r="D48" s="6"/>
      <c r="E48" s="6"/>
      <c r="F48" s="6"/>
      <c r="G48" s="6"/>
      <c r="H48" s="6"/>
      <c r="I48" s="6"/>
      <c r="J48" s="6"/>
      <c r="K48" s="6"/>
      <c r="L48" s="6"/>
      <c r="M48" s="6"/>
      <c r="N48" s="6"/>
      <c r="O48" s="6"/>
      <c r="P48" s="6"/>
      <c r="Q48" s="6"/>
      <c r="R48" s="6"/>
      <c r="S48" s="6"/>
      <c r="T48" s="6"/>
      <c r="U48" s="6"/>
      <c r="V48" s="6"/>
    </row>
    <row r="49" spans="1:22" x14ac:dyDescent="0.25">
      <c r="A49" s="6"/>
      <c r="B49" s="6"/>
      <c r="C49" s="6"/>
      <c r="D49" s="6"/>
      <c r="E49" s="6"/>
      <c r="F49" s="6"/>
      <c r="G49" s="6"/>
      <c r="H49" s="6"/>
      <c r="I49" s="6"/>
      <c r="J49" s="6"/>
      <c r="K49" s="6"/>
      <c r="L49" s="6"/>
      <c r="M49" s="6"/>
      <c r="N49" s="6"/>
      <c r="O49" s="6"/>
      <c r="P49" s="6"/>
      <c r="Q49" s="6"/>
      <c r="R49" s="6"/>
      <c r="S49" s="6"/>
      <c r="T49" s="6"/>
      <c r="U49" s="6"/>
      <c r="V49" s="6"/>
    </row>
    <row r="50" spans="1:22" x14ac:dyDescent="0.25">
      <c r="A50" s="6"/>
      <c r="B50" s="6"/>
      <c r="C50" s="6"/>
      <c r="D50" s="6"/>
      <c r="E50" s="6"/>
      <c r="F50" s="6"/>
      <c r="G50" s="6"/>
      <c r="H50" s="6"/>
      <c r="I50" s="6"/>
      <c r="J50" s="6"/>
      <c r="K50" s="6"/>
      <c r="L50" s="6"/>
      <c r="M50" s="6"/>
      <c r="N50" s="6"/>
      <c r="O50" s="6"/>
      <c r="P50" s="6"/>
      <c r="Q50" s="6"/>
      <c r="R50" s="6"/>
      <c r="S50" s="6"/>
      <c r="T50" s="6"/>
      <c r="U50" s="6"/>
      <c r="V50" s="6"/>
    </row>
    <row r="51" spans="1:22" x14ac:dyDescent="0.25">
      <c r="A51" s="6"/>
      <c r="B51" s="6"/>
      <c r="C51" s="6"/>
      <c r="D51" s="6"/>
      <c r="E51" s="6"/>
      <c r="F51" s="6"/>
      <c r="G51" s="6"/>
      <c r="H51" s="6"/>
      <c r="I51" s="6"/>
      <c r="J51" s="6"/>
      <c r="K51" s="6"/>
      <c r="L51" s="6"/>
      <c r="M51" s="6"/>
      <c r="N51" s="6"/>
      <c r="O51" s="6"/>
      <c r="P51" s="6"/>
      <c r="Q51" s="6"/>
      <c r="R51" s="6"/>
      <c r="S51" s="6"/>
      <c r="T51" s="6"/>
      <c r="U51" s="6"/>
      <c r="V51" s="6"/>
    </row>
    <row r="52" spans="1:22" x14ac:dyDescent="0.25">
      <c r="A52" s="6"/>
      <c r="B52" s="6"/>
      <c r="C52" s="6"/>
      <c r="D52" s="6"/>
      <c r="E52" s="6"/>
      <c r="F52" s="6"/>
      <c r="G52" s="6"/>
      <c r="H52" s="6"/>
      <c r="I52" s="6"/>
      <c r="J52" s="6"/>
      <c r="K52" s="6"/>
      <c r="L52" s="6"/>
      <c r="M52" s="6"/>
      <c r="N52" s="6"/>
      <c r="O52" s="6"/>
      <c r="P52" s="6"/>
      <c r="Q52" s="6"/>
      <c r="R52" s="6"/>
      <c r="S52" s="6"/>
      <c r="T52" s="6"/>
      <c r="U52" s="6"/>
      <c r="V52" s="6"/>
    </row>
    <row r="53" spans="1:22" x14ac:dyDescent="0.25">
      <c r="A53" s="6"/>
      <c r="B53" s="6"/>
      <c r="C53" s="6"/>
      <c r="D53" s="6"/>
      <c r="E53" s="6"/>
      <c r="F53" s="6"/>
      <c r="G53" s="6"/>
      <c r="H53" s="6"/>
      <c r="I53" s="6"/>
      <c r="J53" s="6"/>
      <c r="K53" s="6"/>
      <c r="L53" s="6"/>
      <c r="M53" s="6"/>
      <c r="N53" s="6"/>
      <c r="O53" s="6"/>
      <c r="P53" s="6"/>
      <c r="Q53" s="6"/>
      <c r="R53" s="6"/>
      <c r="S53" s="6"/>
      <c r="T53" s="6"/>
      <c r="U53" s="6"/>
      <c r="V53" s="6"/>
    </row>
    <row r="54" spans="1:22" x14ac:dyDescent="0.25">
      <c r="A54" s="6"/>
      <c r="B54" s="6"/>
      <c r="C54" s="6"/>
      <c r="D54" s="6"/>
      <c r="E54" s="6"/>
      <c r="F54" s="6"/>
      <c r="G54" s="6"/>
      <c r="H54" s="6"/>
      <c r="I54" s="6"/>
      <c r="J54" s="6"/>
      <c r="K54" s="6"/>
      <c r="L54" s="6"/>
      <c r="M54" s="6"/>
      <c r="N54" s="6"/>
      <c r="O54" s="6"/>
      <c r="P54" s="6"/>
      <c r="Q54" s="6"/>
      <c r="R54" s="6"/>
      <c r="S54" s="6"/>
      <c r="T54" s="6"/>
      <c r="U54" s="6"/>
      <c r="V54" s="6"/>
    </row>
    <row r="55" spans="1:22" x14ac:dyDescent="0.25">
      <c r="A55" s="6"/>
      <c r="B55" s="6"/>
      <c r="C55" s="6"/>
      <c r="D55" s="6"/>
      <c r="E55" s="6"/>
      <c r="F55" s="6"/>
      <c r="G55" s="6"/>
      <c r="H55" s="6"/>
      <c r="I55" s="6"/>
      <c r="J55" s="6"/>
      <c r="K55" s="6"/>
      <c r="L55" s="6"/>
      <c r="M55" s="6"/>
      <c r="N55" s="6"/>
      <c r="O55" s="6"/>
      <c r="P55" s="6"/>
      <c r="Q55" s="6"/>
      <c r="R55" s="6"/>
      <c r="S55" s="6"/>
      <c r="T55" s="6"/>
      <c r="U55" s="6"/>
      <c r="V55" s="6"/>
    </row>
    <row r="56" spans="1:22" x14ac:dyDescent="0.25">
      <c r="A56" s="6"/>
      <c r="B56" s="6"/>
      <c r="C56" s="6"/>
      <c r="D56" s="6"/>
      <c r="E56" s="6"/>
      <c r="F56" s="6"/>
      <c r="G56" s="6"/>
      <c r="H56" s="6"/>
      <c r="I56" s="6"/>
      <c r="J56" s="6"/>
      <c r="K56" s="6"/>
      <c r="L56" s="6"/>
      <c r="M56" s="6"/>
      <c r="N56" s="6"/>
      <c r="O56" s="6"/>
      <c r="P56" s="6"/>
      <c r="Q56" s="6"/>
      <c r="R56" s="6"/>
      <c r="S56" s="6"/>
      <c r="T56" s="6"/>
      <c r="U56" s="6"/>
      <c r="V56" s="6"/>
    </row>
    <row r="57" spans="1:22" x14ac:dyDescent="0.25">
      <c r="A57" s="6"/>
      <c r="B57" s="6"/>
      <c r="C57" s="6"/>
      <c r="D57" s="6"/>
      <c r="E57" s="6"/>
      <c r="F57" s="6"/>
      <c r="G57" s="6"/>
      <c r="H57" s="6"/>
      <c r="I57" s="6"/>
      <c r="J57" s="6"/>
      <c r="K57" s="6"/>
      <c r="L57" s="6"/>
      <c r="M57" s="6"/>
      <c r="N57" s="6"/>
      <c r="O57" s="6"/>
      <c r="P57" s="6"/>
      <c r="Q57" s="6"/>
      <c r="R57" s="6"/>
      <c r="S57" s="6"/>
      <c r="T57" s="6"/>
      <c r="U57" s="6"/>
      <c r="V5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f24354d6-c0e9-4261-9371-01f058dc89e3}" enabled="1" method="Standard" siteId="{fb0af7d1-8a83-48bc-8d2d-cd92034c79d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pivot(all 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Deepanshu Kumar</cp:lastModifiedBy>
  <dcterms:created xsi:type="dcterms:W3CDTF">2022-03-18T02:50:57Z</dcterms:created>
  <dcterms:modified xsi:type="dcterms:W3CDTF">2026-04-22T02:56:54Z</dcterms:modified>
</cp:coreProperties>
</file>